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ssumptions" sheetId="2" state="visible" r:id="rId2"/>
    <sheet name="Capex_Variable" sheetId="3" state="visible" r:id="rId3"/>
    <sheet name="Capex_Fixed" sheetId="4" state="visible" r:id="rId4"/>
    <sheet name="Cost_Per_Stall" sheetId="5" state="visible" r:id="rId5"/>
    <sheet name="Revenue_NOI" sheetId="6" state="visible" r:id="rId6"/>
    <sheet name="Debt_DSCR" sheetId="7" state="visible" r:id="rId7"/>
    <sheet name="ProForma_10yr" sheetId="8" state="visible" r:id="rId8"/>
    <sheet name="Sensitivity" sheetId="9" state="visible" r:id="rId9"/>
    <sheet name="Sources_Notes" sheetId="10" state="visible" r:id="rId10"/>
    <sheet name="Scale_Density" sheetId="11" state="visible" r:id="rId11"/>
  </sheets>
  <definedNames/>
  <calcPr calcId="124519" fullCalcOnLoad="1"/>
</workbook>
</file>

<file path=xl/styles.xml><?xml version="1.0" encoding="utf-8"?>
<styleSheet xmlns="http://schemas.openxmlformats.org/spreadsheetml/2006/main">
  <numFmts count="8">
    <numFmt numFmtId="164" formatCode="#,##0.00;(#,##0.00);&quot;-&quot;"/>
    <numFmt numFmtId="165" formatCode="0.0%;(0.0%);&quot;-&quot;"/>
    <numFmt numFmtId="166" formatCode="#,##0;(#,##0);&quot;-&quot;"/>
    <numFmt numFmtId="167" formatCode="#,##0.0;(#,##0.0);&quot;-&quot;"/>
    <numFmt numFmtId="168" formatCode="$#,##0;($#,##0);&quot;-&quot;"/>
    <numFmt numFmtId="169" formatCode="0.00&quot;x&quot;"/>
    <numFmt numFmtId="170" formatCode="$#,##0.00;($#,##0.00);&quot;-&quot;"/>
    <numFmt numFmtId="171" formatCode="0.00%;(0.00%);&quot;-&quot;"/>
  </numFmts>
  <fonts count="15">
    <font>
      <name val="Calibri"/>
      <family val="2"/>
      <color theme="1"/>
      <sz val="11"/>
      <scheme val="minor"/>
    </font>
    <font>
      <name val="Arial"/>
      <b val="1"/>
      <color rgb="001F3864"/>
      <sz val="14"/>
    </font>
    <font>
      <name val="Arial"/>
      <i val="1"/>
      <color rgb="00595959"/>
      <sz val="10"/>
    </font>
    <font>
      <name val="Arial"/>
      <b val="1"/>
      <color rgb="00FFFFFF"/>
      <sz val="10"/>
    </font>
    <font>
      <name val="Arial"/>
      <sz val="10"/>
    </font>
    <font>
      <name val="Arial"/>
      <color rgb="00595959"/>
      <sz val="9"/>
    </font>
    <font>
      <name val="Arial"/>
      <color rgb="000000FF"/>
      <sz val="10"/>
    </font>
    <font>
      <name val="Arial"/>
      <i val="1"/>
      <color rgb="007F7F7F"/>
      <sz val="8"/>
    </font>
    <font>
      <name val="Arial"/>
      <b val="1"/>
      <sz val="10"/>
    </font>
    <font>
      <name val="Arial"/>
      <color rgb="00008000"/>
      <sz val="10"/>
    </font>
    <font>
      <name val="Arial"/>
      <b val="1"/>
      <color rgb="000000FF"/>
      <sz val="10"/>
    </font>
    <font>
      <name val="Arial"/>
      <b val="1"/>
      <color rgb="001F3864"/>
      <sz val="10"/>
    </font>
    <font>
      <name val="Arial"/>
      <b val="1"/>
      <color rgb="001F3864"/>
      <sz val="9"/>
    </font>
    <font>
      <name val="Arial"/>
      <sz val="9"/>
    </font>
    <font>
      <name val="Arial"/>
      <i val="1"/>
      <color rgb="00595959"/>
      <sz val="9"/>
    </font>
  </fonts>
  <fills count="7">
    <fill>
      <patternFill/>
    </fill>
    <fill>
      <patternFill patternType="gray125"/>
    </fill>
    <fill>
      <patternFill patternType="solid">
        <fgColor rgb="002F5597"/>
      </patternFill>
    </fill>
    <fill>
      <patternFill patternType="solid">
        <fgColor rgb="001F3864"/>
      </patternFill>
    </fill>
    <fill>
      <patternFill patternType="solid">
        <fgColor rgb="00FFFF00"/>
      </patternFill>
    </fill>
    <fill>
      <patternFill patternType="solid">
        <fgColor rgb="00D9E2F3"/>
      </patternFill>
    </fill>
    <fill>
      <patternFill patternType="solid">
        <fgColor rgb="00E2EFDA"/>
      </patternFill>
    </fill>
  </fills>
  <borders count="3">
    <border>
      <left/>
      <right/>
      <top/>
      <bottom/>
      <diagonal/>
    </border>
    <border>
      <left style="thin">
        <color rgb="00BFBFBF"/>
      </left>
      <right style="thin">
        <color rgb="00BFBFBF"/>
      </right>
      <top style="thin">
        <color rgb="00BFBFBF"/>
      </top>
      <bottom style="thin">
        <color rgb="00BFBFBF"/>
      </bottom>
    </border>
    <border>
      <top style="thin">
        <color rgb="00404040"/>
      </top>
    </border>
  </borders>
  <cellStyleXfs count="1">
    <xf numFmtId="0" fontId="0" fillId="0" borderId="0"/>
  </cellStyleXfs>
  <cellXfs count="83">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wrapText="1"/>
    </xf>
    <xf numFmtId="0" fontId="3" fillId="2" borderId="0" applyAlignment="1" pivotButton="0" quotePrefix="0" xfId="0">
      <alignment horizontal="center" vertical="center" wrapText="1"/>
    </xf>
    <xf numFmtId="0" fontId="3" fillId="3" borderId="0" pivotButton="0" quotePrefix="0" xfId="0"/>
    <xf numFmtId="0" fontId="4" fillId="0" borderId="0" pivotButton="0" quotePrefix="0" xfId="0"/>
    <xf numFmtId="0" fontId="5" fillId="0" borderId="0" pivotButton="0" quotePrefix="0" xfId="0"/>
    <xf numFmtId="164" fontId="9" fillId="0" borderId="0" pivotButton="0" quotePrefix="0" xfId="0"/>
    <xf numFmtId="0" fontId="8" fillId="0" borderId="0" pivotButton="0" quotePrefix="0" xfId="0"/>
    <xf numFmtId="166" fontId="9" fillId="0" borderId="0" pivotButton="0" quotePrefix="0" xfId="0"/>
    <xf numFmtId="167" fontId="9" fillId="0" borderId="0" pivotButton="0" quotePrefix="0" xfId="0"/>
    <xf numFmtId="168" fontId="9" fillId="0" borderId="0" pivotButton="0" quotePrefix="0" xfId="0"/>
    <xf numFmtId="0" fontId="8" fillId="5" borderId="0" pivotButton="0" quotePrefix="0" xfId="0"/>
    <xf numFmtId="0" fontId="5" fillId="5" borderId="0" pivotButton="0" quotePrefix="0" xfId="0"/>
    <xf numFmtId="168" fontId="8" fillId="5" borderId="0" pivotButton="0" quotePrefix="0" xfId="0"/>
    <xf numFmtId="0" fontId="8" fillId="6" borderId="0" pivotButton="0" quotePrefix="0" xfId="0"/>
    <xf numFmtId="0" fontId="5" fillId="6" borderId="0" pivotButton="0" quotePrefix="0" xfId="0"/>
    <xf numFmtId="168" fontId="8" fillId="6" borderId="0" pivotButton="0" quotePrefix="0" xfId="0"/>
    <xf numFmtId="0" fontId="7" fillId="0" borderId="0" applyAlignment="1" pivotButton="0" quotePrefix="0" xfId="0">
      <alignment vertical="top" wrapText="1"/>
    </xf>
    <xf numFmtId="0" fontId="4" fillId="0" borderId="0" applyAlignment="1" pivotButton="0" quotePrefix="0" xfId="0">
      <alignment indent="1"/>
    </xf>
    <xf numFmtId="165" fontId="9" fillId="0" borderId="0" pivotButton="0" quotePrefix="0" xfId="0"/>
    <xf numFmtId="171" fontId="8" fillId="6" borderId="0" pivotButton="0" quotePrefix="0" xfId="0"/>
    <xf numFmtId="168" fontId="8" fillId="0" borderId="0" pivotButton="0" quotePrefix="0" xfId="0"/>
    <xf numFmtId="169" fontId="8" fillId="6" borderId="0" pivotButton="0" quotePrefix="0" xfId="0"/>
    <xf numFmtId="49" fontId="8" fillId="0" borderId="0" pivotButton="0" quotePrefix="0" xfId="0"/>
    <xf numFmtId="0" fontId="8" fillId="0" borderId="0" applyAlignment="1" pivotButton="0" quotePrefix="0" xfId="0">
      <alignment indent="1"/>
    </xf>
    <xf numFmtId="0" fontId="6" fillId="0" borderId="0" pivotButton="0" quotePrefix="0" xfId="0"/>
    <xf numFmtId="0" fontId="9" fillId="0" borderId="0" pivotButton="0" quotePrefix="0" xfId="0"/>
    <xf numFmtId="0" fontId="4" fillId="4" borderId="0" pivotButton="0" quotePrefix="0" xfId="0"/>
    <xf numFmtId="164" fontId="6" fillId="0" borderId="0" pivotButton="0" quotePrefix="0" xfId="0"/>
    <xf numFmtId="0" fontId="5" fillId="4" borderId="0" pivotButton="0" quotePrefix="0" xfId="0"/>
    <xf numFmtId="165" fontId="6" fillId="4" borderId="0" pivotButton="0" quotePrefix="0" xfId="0"/>
    <xf numFmtId="166" fontId="6" fillId="4" borderId="0" pivotButton="0" quotePrefix="0" xfId="0"/>
    <xf numFmtId="166" fontId="8" fillId="0" borderId="0" pivotButton="0" quotePrefix="0" xfId="0"/>
    <xf numFmtId="167" fontId="4" fillId="0" borderId="0" pivotButton="0" quotePrefix="0" xfId="0"/>
    <xf numFmtId="166" fontId="4" fillId="0" borderId="0" pivotButton="0" quotePrefix="0" xfId="0"/>
    <xf numFmtId="164" fontId="4" fillId="0" borderId="0" pivotButton="0" quotePrefix="0" xfId="0"/>
    <xf numFmtId="168" fontId="6" fillId="4" borderId="0" pivotButton="0" quotePrefix="0" xfId="0"/>
    <xf numFmtId="165" fontId="6" fillId="0" borderId="0" pivotButton="0" quotePrefix="0" xfId="0"/>
    <xf numFmtId="168" fontId="6" fillId="0" borderId="0" pivotButton="0" quotePrefix="0" xfId="0"/>
    <xf numFmtId="164" fontId="6" fillId="4" borderId="0" pivotButton="0" quotePrefix="0" xfId="0"/>
    <xf numFmtId="166" fontId="6" fillId="0" borderId="0" pivotButton="0" quotePrefix="0" xfId="0"/>
    <xf numFmtId="169" fontId="6" fillId="4" borderId="0" pivotButton="0" quotePrefix="0" xfId="0"/>
    <xf numFmtId="170" fontId="6" fillId="0" borderId="0" pivotButton="0" quotePrefix="0" xfId="0"/>
    <xf numFmtId="170" fontId="6" fillId="4" borderId="0" pivotButton="0" quotePrefix="0" xfId="0"/>
    <xf numFmtId="170" fontId="8" fillId="5" borderId="0" pivotButton="0" quotePrefix="0" xfId="0"/>
    <xf numFmtId="0" fontId="8" fillId="6" borderId="0" applyAlignment="1" pivotButton="0" quotePrefix="0" xfId="0">
      <alignment indent="1"/>
    </xf>
    <xf numFmtId="0" fontId="7" fillId="0" borderId="0" pivotButton="0" quotePrefix="0" xfId="0"/>
    <xf numFmtId="168" fontId="4" fillId="0" borderId="0" pivotButton="0" quotePrefix="0" xfId="0"/>
    <xf numFmtId="165" fontId="4" fillId="0" borderId="0" pivotButton="0" quotePrefix="0" xfId="0"/>
    <xf numFmtId="0" fontId="4" fillId="5" borderId="0" applyAlignment="1" pivotButton="0" quotePrefix="0" xfId="0">
      <alignment indent="1"/>
    </xf>
    <xf numFmtId="168" fontId="4" fillId="5" borderId="0" pivotButton="0" quotePrefix="0" xfId="0"/>
    <xf numFmtId="168" fontId="4" fillId="4" borderId="0" pivotButton="0" quotePrefix="0" xfId="0"/>
    <xf numFmtId="171" fontId="4" fillId="0" borderId="0" pivotButton="0" quotePrefix="0" xfId="0"/>
    <xf numFmtId="49" fontId="4" fillId="0" borderId="0" pivotButton="0" quotePrefix="0" xfId="0"/>
    <xf numFmtId="165" fontId="8" fillId="0" borderId="0" pivotButton="0" quotePrefix="0" xfId="0"/>
    <xf numFmtId="166" fontId="10" fillId="4" borderId="1" pivotButton="0" quotePrefix="0" xfId="0"/>
    <xf numFmtId="0" fontId="11" fillId="0" borderId="0" pivotButton="0" quotePrefix="0" xfId="0"/>
    <xf numFmtId="0" fontId="3" fillId="2" borderId="0" pivotButton="0" quotePrefix="0" xfId="0"/>
    <xf numFmtId="0" fontId="0" fillId="2" borderId="0" pivotButton="0" quotePrefix="0" xfId="0"/>
    <xf numFmtId="49" fontId="3" fillId="2" borderId="0" applyAlignment="1" pivotButton="0" quotePrefix="0" xfId="0">
      <alignment horizontal="center"/>
    </xf>
    <xf numFmtId="168" fontId="8" fillId="6" borderId="2" pivotButton="0" quotePrefix="0" xfId="0"/>
    <xf numFmtId="165" fontId="8" fillId="6" borderId="0" pivotButton="0" quotePrefix="0" xfId="0"/>
    <xf numFmtId="169" fontId="8" fillId="0" borderId="0" pivotButton="0" quotePrefix="0" xfId="0"/>
    <xf numFmtId="171" fontId="9" fillId="0" borderId="0" pivotButton="0" quotePrefix="0" xfId="0"/>
    <xf numFmtId="169" fontId="9" fillId="0" borderId="0" pivotButton="0" quotePrefix="0" xfId="0"/>
    <xf numFmtId="169" fontId="4" fillId="0" borderId="0" pivotButton="0" quotePrefix="0" xfId="0"/>
    <xf numFmtId="0" fontId="12" fillId="0" borderId="0" pivotButton="0" quotePrefix="0" xfId="0"/>
    <xf numFmtId="168" fontId="3" fillId="2" borderId="0" applyAlignment="1" pivotButton="0" quotePrefix="0" xfId="0">
      <alignment horizontal="center"/>
    </xf>
    <xf numFmtId="169" fontId="4" fillId="0" borderId="1" pivotButton="0" quotePrefix="0" xfId="0"/>
    <xf numFmtId="171" fontId="4" fillId="0" borderId="1" pivotButton="0" quotePrefix="0" xfId="0"/>
    <xf numFmtId="170" fontId="3" fillId="2" borderId="0" applyAlignment="1" pivotButton="0" quotePrefix="0" xfId="0">
      <alignment horizontal="center"/>
    </xf>
    <xf numFmtId="168" fontId="4" fillId="0" borderId="1" pivotButton="0" quotePrefix="0" xfId="0"/>
    <xf numFmtId="165" fontId="8" fillId="5" borderId="0" pivotButton="0" quotePrefix="0" xfId="0"/>
    <xf numFmtId="0" fontId="8" fillId="0" borderId="0" applyAlignment="1" pivotButton="0" quotePrefix="0" xfId="0">
      <alignment vertical="top" wrapText="1"/>
    </xf>
    <xf numFmtId="0" fontId="13" fillId="0" borderId="0" applyAlignment="1" pivotButton="0" quotePrefix="0" xfId="0">
      <alignment vertical="top" wrapText="1"/>
    </xf>
    <xf numFmtId="0" fontId="14" fillId="0" borderId="0" applyAlignment="1" pivotButton="0" quotePrefix="0" xfId="0">
      <alignment vertical="top" wrapText="1"/>
    </xf>
    <xf numFmtId="170" fontId="9" fillId="0" borderId="0" pivotButton="0" quotePrefix="0" xfId="0"/>
    <xf numFmtId="170" fontId="4" fillId="0" borderId="0" pivotButton="0" quotePrefix="0" xfId="0"/>
    <xf numFmtId="166" fontId="3" fillId="2" borderId="0" applyAlignment="1" pivotButton="0" quotePrefix="0" xfId="0">
      <alignment horizontal="center"/>
    </xf>
    <xf numFmtId="166" fontId="8" fillId="5" borderId="0" pivotButton="0" quotePrefix="0" xfId="0"/>
    <xf numFmtId="166"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
  <sheetViews>
    <sheetView showGridLines="0" workbookViewId="0">
      <pane ySplit="4" topLeftCell="A5" activePane="bottomLeft" state="frozen"/>
      <selection pane="bottomLeft" activeCell="A1" sqref="A1"/>
    </sheetView>
  </sheetViews>
  <sheetFormatPr baseColWidth="8" defaultRowHeight="15"/>
  <cols>
    <col width="46" customWidth="1" min="1" max="1"/>
    <col width="15" customWidth="1" min="2" max="2"/>
    <col width="16" customWidth="1" min="3" max="3"/>
    <col width="16" customWidth="1" min="4" max="4"/>
    <col width="16" customWidth="1" min="5" max="5"/>
    <col width="44" customWidth="1" min="6" max="6"/>
  </cols>
  <sheetData>
    <row r="1">
      <c r="A1" s="1" t="inlineStr">
        <is>
          <t>Bloomfield, CT  -  Truck Parking Development</t>
        </is>
      </c>
    </row>
    <row r="2">
      <c r="A2" s="2" t="inlineStr">
        <is>
          <t>Fixed &amp; variable capex  -&gt;  cost per stall  -&gt;  NOI  -&gt;  DSCR.  All figures are formula-driven from the Assumptions tab.</t>
        </is>
      </c>
    </row>
    <row r="4" ht="30" customHeight="1">
      <c r="A4" s="3" t="inlineStr">
        <is>
          <t>Metric</t>
        </is>
      </c>
      <c r="B4" s="3" t="inlineStr">
        <is>
          <t>Unit</t>
        </is>
      </c>
      <c r="C4" s="4" t="inlineStr">
        <is>
          <t>S1  Greenfield Full Asphalt</t>
        </is>
      </c>
      <c r="D4" s="4" t="inlineStr">
        <is>
          <t>S2  Greenfield Value-Eng.</t>
        </is>
      </c>
      <c r="E4" s="4" t="inlineStr">
        <is>
          <t>S3  Retrofit Existing Yard</t>
        </is>
      </c>
      <c r="F4" s="4" t="inlineStr">
        <is>
          <t>Comment</t>
        </is>
      </c>
    </row>
    <row r="5">
      <c r="A5" s="5" t="inlineStr">
        <is>
          <t>PROGRAM</t>
        </is>
      </c>
      <c r="B5" s="5" t="n"/>
      <c r="C5" s="5" t="n"/>
      <c r="D5" s="5" t="n"/>
      <c r="E5" s="5" t="n"/>
      <c r="F5" s="5" t="n"/>
      <c r="G5" s="5" t="n"/>
    </row>
    <row r="6">
      <c r="A6" s="6" t="inlineStr">
        <is>
          <t>Gross site area</t>
        </is>
      </c>
      <c r="B6" s="7" t="inlineStr">
        <is>
          <t>acres</t>
        </is>
      </c>
      <c r="C6" s="8">
        <f>Assumptions!$C$6</f>
        <v/>
      </c>
      <c r="D6" s="8">
        <f>Assumptions!$D$6</f>
        <v/>
      </c>
      <c r="E6" s="8">
        <f>Assumptions!$E$6</f>
        <v/>
      </c>
    </row>
    <row r="7">
      <c r="A7" s="9" t="inlineStr">
        <is>
          <t>Truck stalls</t>
        </is>
      </c>
      <c r="B7" s="7" t="inlineStr">
        <is>
          <t>stalls</t>
        </is>
      </c>
      <c r="C7" s="10">
        <f>Assumptions!$C$9</f>
        <v/>
      </c>
      <c r="D7" s="10">
        <f>Assumptions!$D$9</f>
        <v/>
      </c>
      <c r="E7" s="10">
        <f>Assumptions!$E$9</f>
        <v/>
      </c>
    </row>
    <row r="8">
      <c r="A8" s="6" t="inlineStr">
        <is>
          <t>Density</t>
        </is>
      </c>
      <c r="B8" s="7" t="inlineStr">
        <is>
          <t>stalls / acre</t>
        </is>
      </c>
      <c r="C8" s="11">
        <f>Assumptions!$C$10</f>
        <v/>
      </c>
      <c r="D8" s="11">
        <f>Assumptions!$D$10</f>
        <v/>
      </c>
      <c r="E8" s="11">
        <f>Assumptions!$E$10</f>
        <v/>
      </c>
    </row>
    <row r="9">
      <c r="A9" s="5" t="inlineStr">
        <is>
          <t>CAPITAL COST</t>
        </is>
      </c>
      <c r="B9" s="5" t="n"/>
      <c r="C9" s="5" t="n"/>
      <c r="D9" s="5" t="n"/>
      <c r="E9" s="5" t="n"/>
      <c r="F9" s="5" t="n"/>
      <c r="G9" s="5" t="n"/>
    </row>
    <row r="10">
      <c r="A10" s="6" t="inlineStr">
        <is>
          <t>Fixed capex</t>
        </is>
      </c>
      <c r="B10" s="7" t="inlineStr">
        <is>
          <t>$</t>
        </is>
      </c>
      <c r="C10" s="12">
        <f>Cost_Per_Stall!$C$42</f>
        <v/>
      </c>
      <c r="D10" s="12">
        <f>Cost_Per_Stall!$D$42</f>
        <v/>
      </c>
      <c r="E10" s="12">
        <f>Cost_Per_Stall!$E$42</f>
        <v/>
      </c>
    </row>
    <row r="11">
      <c r="A11" s="6" t="inlineStr">
        <is>
          <t>Variable capex</t>
        </is>
      </c>
      <c r="B11" s="7" t="inlineStr">
        <is>
          <t>$</t>
        </is>
      </c>
      <c r="C11" s="12">
        <f>Cost_Per_Stall!$C$41</f>
        <v/>
      </c>
      <c r="D11" s="12">
        <f>Cost_Per_Stall!$D$41</f>
        <v/>
      </c>
      <c r="E11" s="12">
        <f>Cost_Per_Stall!$E$41</f>
        <v/>
      </c>
    </row>
    <row r="12">
      <c r="A12" s="13" t="inlineStr">
        <is>
          <t>TOTAL PROJECT COST</t>
        </is>
      </c>
      <c r="B12" s="14" t="inlineStr">
        <is>
          <t>$</t>
        </is>
      </c>
      <c r="C12" s="15">
        <f>Cost_Per_Stall!$C$38</f>
        <v/>
      </c>
      <c r="D12" s="15">
        <f>Cost_Per_Stall!$D$38</f>
        <v/>
      </c>
      <c r="E12" s="15">
        <f>Cost_Per_Stall!$E$38</f>
        <v/>
      </c>
    </row>
    <row r="13">
      <c r="A13" s="6" t="inlineStr">
        <is>
          <t>Fixed cost per stall</t>
        </is>
      </c>
      <c r="B13" s="7" t="inlineStr">
        <is>
          <t>$ / stall</t>
        </is>
      </c>
      <c r="C13" s="12">
        <f>Cost_Per_Stall!$C$45</f>
        <v/>
      </c>
      <c r="D13" s="12">
        <f>Cost_Per_Stall!$D$45</f>
        <v/>
      </c>
      <c r="E13" s="12">
        <f>Cost_Per_Stall!$E$45</f>
        <v/>
      </c>
    </row>
    <row r="14">
      <c r="A14" s="6" t="inlineStr">
        <is>
          <t>Variable cost per stall</t>
        </is>
      </c>
      <c r="B14" s="7" t="inlineStr">
        <is>
          <t>$ / stall</t>
        </is>
      </c>
      <c r="C14" s="12">
        <f>Cost_Per_Stall!$C$44</f>
        <v/>
      </c>
      <c r="D14" s="12">
        <f>Cost_Per_Stall!$D$44</f>
        <v/>
      </c>
      <c r="E14" s="12">
        <f>Cost_Per_Stall!$E$44</f>
        <v/>
      </c>
    </row>
    <row r="15">
      <c r="A15" s="16" t="inlineStr">
        <is>
          <t>ALL-IN COST PER STALL</t>
        </is>
      </c>
      <c r="B15" s="17" t="inlineStr">
        <is>
          <t>$ / stall</t>
        </is>
      </c>
      <c r="C15" s="18">
        <f>Cost_Per_Stall!$C$46</f>
        <v/>
      </c>
      <c r="D15" s="18">
        <f>Cost_Per_Stall!$D$46</f>
        <v/>
      </c>
      <c r="E15" s="18">
        <f>Cost_Per_Stall!$E$46</f>
        <v/>
      </c>
      <c r="F15" s="19" t="inlineStr">
        <is>
          <t>Fixed costs dominate - see the fixed-share line below. Density is therefore the strongest single lever on this number.</t>
        </is>
      </c>
    </row>
    <row r="16">
      <c r="A16" s="20" t="inlineStr">
        <is>
          <t xml:space="preserve">   Fixed share of all-in cost</t>
        </is>
      </c>
      <c r="B16" s="7" t="inlineStr">
        <is>
          <t>%</t>
        </is>
      </c>
      <c r="C16" s="21">
        <f>Cost_Per_Stall!$C$48</f>
        <v/>
      </c>
      <c r="D16" s="21">
        <f>Cost_Per_Stall!$D$48</f>
        <v/>
      </c>
      <c r="E16" s="21">
        <f>Cost_Per_Stall!$E$48</f>
        <v/>
      </c>
    </row>
    <row r="17">
      <c r="A17" s="20" t="inlineStr">
        <is>
          <t xml:space="preserve">   Land per stall</t>
        </is>
      </c>
      <c r="B17" s="7" t="inlineStr">
        <is>
          <t>$ / stall</t>
        </is>
      </c>
      <c r="C17" s="12">
        <f>Cost_Per_Stall!$C$47</f>
        <v/>
      </c>
      <c r="D17" s="12">
        <f>Cost_Per_Stall!$D$47</f>
        <v/>
      </c>
      <c r="E17" s="12">
        <f>Cost_Per_Stall!$E$47</f>
        <v/>
      </c>
    </row>
    <row r="18">
      <c r="A18" s="5" t="inlineStr">
        <is>
          <t>STABILIZED OPERATIONS</t>
        </is>
      </c>
      <c r="B18" s="5" t="n"/>
      <c r="C18" s="5" t="n"/>
      <c r="D18" s="5" t="n"/>
      <c r="E18" s="5" t="n"/>
      <c r="F18" s="5" t="n"/>
      <c r="G18" s="5" t="n"/>
    </row>
    <row r="19">
      <c r="A19" s="6" t="inlineStr">
        <is>
          <t>Effective gross income</t>
        </is>
      </c>
      <c r="B19" s="7" t="inlineStr">
        <is>
          <t>$ / yr</t>
        </is>
      </c>
      <c r="C19" s="12">
        <f>Revenue_NOI!$C$15</f>
        <v/>
      </c>
      <c r="D19" s="12">
        <f>Revenue_NOI!$D$15</f>
        <v/>
      </c>
      <c r="E19" s="12">
        <f>Revenue_NOI!$E$15</f>
        <v/>
      </c>
    </row>
    <row r="20">
      <c r="A20" s="6" t="inlineStr">
        <is>
          <t>Blended revenue per stall</t>
        </is>
      </c>
      <c r="B20" s="7" t="inlineStr">
        <is>
          <t>$ / stall / mo</t>
        </is>
      </c>
      <c r="C20" s="12">
        <f>Revenue_NOI!$C$16</f>
        <v/>
      </c>
      <c r="D20" s="12">
        <f>Revenue_NOI!$D$16</f>
        <v/>
      </c>
      <c r="E20" s="12">
        <f>Revenue_NOI!$E$16</f>
        <v/>
      </c>
    </row>
    <row r="21">
      <c r="A21" s="6" t="inlineStr">
        <is>
          <t>Operating expenses</t>
        </is>
      </c>
      <c r="B21" s="7" t="inlineStr">
        <is>
          <t>$ / yr</t>
        </is>
      </c>
      <c r="C21" s="12">
        <f>Revenue_NOI!$C$35</f>
        <v/>
      </c>
      <c r="D21" s="12">
        <f>Revenue_NOI!$D$35</f>
        <v/>
      </c>
      <c r="E21" s="12">
        <f>Revenue_NOI!$E$35</f>
        <v/>
      </c>
    </row>
    <row r="22">
      <c r="A22" s="20" t="inlineStr">
        <is>
          <t xml:space="preserve">   Opex ratio</t>
        </is>
      </c>
      <c r="B22" s="7" t="inlineStr">
        <is>
          <t>% of EGI</t>
        </is>
      </c>
      <c r="C22" s="21">
        <f>Revenue_NOI!$C$36</f>
        <v/>
      </c>
      <c r="D22" s="21">
        <f>Revenue_NOI!$D$36</f>
        <v/>
      </c>
      <c r="E22" s="21">
        <f>Revenue_NOI!$E$36</f>
        <v/>
      </c>
    </row>
    <row r="23">
      <c r="A23" s="20" t="inlineStr">
        <is>
          <t xml:space="preserve">   Real estate taxes</t>
        </is>
      </c>
      <c r="B23" s="7" t="inlineStr">
        <is>
          <t>$ / yr</t>
        </is>
      </c>
      <c r="C23" s="12">
        <f>Revenue_NOI!$C$20</f>
        <v/>
      </c>
      <c r="D23" s="12">
        <f>Revenue_NOI!$D$20</f>
        <v/>
      </c>
      <c r="E23" s="12">
        <f>Revenue_NOI!$E$20</f>
        <v/>
      </c>
    </row>
    <row r="24">
      <c r="A24" s="16" t="inlineStr">
        <is>
          <t>NET OPERATING INCOME</t>
        </is>
      </c>
      <c r="B24" s="17" t="inlineStr">
        <is>
          <t>$ / yr</t>
        </is>
      </c>
      <c r="C24" s="18">
        <f>Revenue_NOI!$C$40</f>
        <v/>
      </c>
      <c r="D24" s="18">
        <f>Revenue_NOI!$D$40</f>
        <v/>
      </c>
      <c r="E24" s="18">
        <f>Revenue_NOI!$E$40</f>
        <v/>
      </c>
    </row>
    <row r="25">
      <c r="A25" s="20" t="inlineStr">
        <is>
          <t xml:space="preserve">   NOI per stall</t>
        </is>
      </c>
      <c r="B25" s="7" t="inlineStr">
        <is>
          <t>$ / stall / yr</t>
        </is>
      </c>
      <c r="C25" s="12">
        <f>Revenue_NOI!$C$42</f>
        <v/>
      </c>
      <c r="D25" s="12">
        <f>Revenue_NOI!$D$42</f>
        <v/>
      </c>
      <c r="E25" s="12">
        <f>Revenue_NOI!$E$42</f>
        <v/>
      </c>
    </row>
    <row r="26">
      <c r="A26" s="16" t="inlineStr">
        <is>
          <t>YIELD ON COST</t>
        </is>
      </c>
      <c r="B26" s="17" t="inlineStr">
        <is>
          <t>%</t>
        </is>
      </c>
      <c r="C26" s="22">
        <f>Revenue_NOI!$C$43</f>
        <v/>
      </c>
      <c r="D26" s="22">
        <f>Revenue_NOI!$D$43</f>
        <v/>
      </c>
      <c r="E26" s="22">
        <f>Revenue_NOI!$E$43</f>
        <v/>
      </c>
    </row>
    <row r="27">
      <c r="A27" s="6" t="inlineStr">
        <is>
          <t>Stabilized value at exit cap</t>
        </is>
      </c>
      <c r="B27" s="7" t="inlineStr">
        <is>
          <t>$</t>
        </is>
      </c>
      <c r="C27" s="12">
        <f>Revenue_NOI!$C$44</f>
        <v/>
      </c>
      <c r="D27" s="12">
        <f>Revenue_NOI!$D$44</f>
        <v/>
      </c>
      <c r="E27" s="12">
        <f>Revenue_NOI!$E$44</f>
        <v/>
      </c>
    </row>
    <row r="28">
      <c r="A28" s="9" t="inlineStr">
        <is>
          <t>Development profit / (loss)</t>
        </is>
      </c>
      <c r="B28" s="7" t="inlineStr">
        <is>
          <t>$</t>
        </is>
      </c>
      <c r="C28" s="23">
        <f>Revenue_NOI!$C$45</f>
        <v/>
      </c>
      <c r="D28" s="23">
        <f>Revenue_NOI!$D$45</f>
        <v/>
      </c>
      <c r="E28" s="23">
        <f>Revenue_NOI!$E$45</f>
        <v/>
      </c>
    </row>
    <row r="29">
      <c r="A29" s="5" t="inlineStr">
        <is>
          <t>FINANCING &amp; COVERAGE</t>
        </is>
      </c>
      <c r="B29" s="5" t="n"/>
      <c r="C29" s="5" t="n"/>
      <c r="D29" s="5" t="n"/>
      <c r="E29" s="5" t="n"/>
      <c r="F29" s="5" t="n"/>
      <c r="G29" s="5" t="n"/>
    </row>
    <row r="30">
      <c r="A30" s="6" t="inlineStr">
        <is>
          <t>Loan at target 65% LTC</t>
        </is>
      </c>
      <c r="B30" s="7" t="inlineStr">
        <is>
          <t>$</t>
        </is>
      </c>
      <c r="C30" s="12">
        <f>Debt_DSCR!$C$10</f>
        <v/>
      </c>
      <c r="D30" s="12">
        <f>Debt_DSCR!$D$10</f>
        <v/>
      </c>
      <c r="E30" s="12">
        <f>Debt_DSCR!$E$10</f>
        <v/>
      </c>
    </row>
    <row r="31">
      <c r="A31" s="6" t="inlineStr">
        <is>
          <t>Annual debt service</t>
        </is>
      </c>
      <c r="B31" s="7" t="inlineStr">
        <is>
          <t>$ / yr</t>
        </is>
      </c>
      <c r="C31" s="12">
        <f>Debt_DSCR!$C$22</f>
        <v/>
      </c>
      <c r="D31" s="12">
        <f>Debt_DSCR!$D$22</f>
        <v/>
      </c>
      <c r="E31" s="12">
        <f>Debt_DSCR!$E$22</f>
        <v/>
      </c>
    </row>
    <row r="32">
      <c r="A32" s="16" t="inlineStr">
        <is>
          <t>DSCR AT TARGET LEVERAGE</t>
        </is>
      </c>
      <c r="B32" s="17" t="inlineStr">
        <is>
          <t>x</t>
        </is>
      </c>
      <c r="C32" s="24">
        <f>Debt_DSCR!$C$23</f>
        <v/>
      </c>
      <c r="D32" s="24">
        <f>Debt_DSCR!$D$23</f>
        <v/>
      </c>
      <c r="E32" s="24">
        <f>Debt_DSCR!$E$23</f>
        <v/>
      </c>
      <c r="F32" s="19" t="inlineStr">
        <is>
          <t>Test is 1.25x. See Debt_DSCR tab for the sized loan.</t>
        </is>
      </c>
    </row>
    <row r="33">
      <c r="A33" s="9" t="inlineStr">
        <is>
          <t>Pass / fail vs. 1.25x</t>
        </is>
      </c>
      <c r="B33" s="7" t="inlineStr"/>
      <c r="C33" s="25">
        <f>Debt_DSCR!$C$24</f>
        <v/>
      </c>
      <c r="D33" s="25">
        <f>Debt_DSCR!$D$24</f>
        <v/>
      </c>
      <c r="E33" s="25">
        <f>Debt_DSCR!$E$24</f>
        <v/>
      </c>
    </row>
    <row r="34">
      <c r="A34" s="6" t="inlineStr">
        <is>
          <t>Debt yield</t>
        </is>
      </c>
      <c r="B34" s="7" t="inlineStr">
        <is>
          <t>%</t>
        </is>
      </c>
      <c r="C34" s="21">
        <f>Debt_DSCR!$C$25</f>
        <v/>
      </c>
      <c r="D34" s="21">
        <f>Debt_DSCR!$D$25</f>
        <v/>
      </c>
      <c r="E34" s="21">
        <f>Debt_DSCR!$E$25</f>
        <v/>
      </c>
    </row>
    <row r="35">
      <c r="A35" s="6" t="inlineStr">
        <is>
          <t>Supportable loan (lesser of LTC / LTV / DSCR)</t>
        </is>
      </c>
      <c r="B35" s="7" t="inlineStr">
        <is>
          <t>$</t>
        </is>
      </c>
      <c r="C35" s="12">
        <f>Debt_DSCR!$C$13</f>
        <v/>
      </c>
      <c r="D35" s="12">
        <f>Debt_DSCR!$D$13</f>
        <v/>
      </c>
      <c r="E35" s="12">
        <f>Debt_DSCR!$E$13</f>
        <v/>
      </c>
    </row>
    <row r="36">
      <c r="A36" s="6" t="inlineStr">
        <is>
          <t>Required equity</t>
        </is>
      </c>
      <c r="B36" s="7" t="inlineStr">
        <is>
          <t>$</t>
        </is>
      </c>
      <c r="C36" s="12">
        <f>Debt_DSCR!$C$16</f>
        <v/>
      </c>
      <c r="D36" s="12">
        <f>Debt_DSCR!$D$16</f>
        <v/>
      </c>
      <c r="E36" s="12">
        <f>Debt_DSCR!$E$16</f>
        <v/>
      </c>
    </row>
    <row r="37">
      <c r="A37" s="5" t="inlineStr">
        <is>
          <t>WHAT THE DEAL NEEDS  (break-evens at 1.25x DSCR, 65% LTC)</t>
        </is>
      </c>
      <c r="B37" s="5" t="n"/>
      <c r="C37" s="5" t="n"/>
      <c r="D37" s="5" t="n"/>
      <c r="E37" s="5" t="n"/>
      <c r="F37" s="5" t="n"/>
      <c r="G37" s="5" t="n"/>
    </row>
    <row r="38">
      <c r="A38" s="9" t="inlineStr">
        <is>
          <t>Required blended revenue per stall</t>
        </is>
      </c>
      <c r="B38" s="7" t="inlineStr">
        <is>
          <t>$ / stall / mo</t>
        </is>
      </c>
      <c r="C38" s="12">
        <f>Debt_DSCR!$C$33</f>
        <v/>
      </c>
      <c r="D38" s="12">
        <f>Debt_DSCR!$D$33</f>
        <v/>
      </c>
      <c r="E38" s="12">
        <f>Debt_DSCR!$E$33</f>
        <v/>
      </c>
    </row>
    <row r="39">
      <c r="A39" s="20" t="inlineStr">
        <is>
          <t xml:space="preserve">   Modeled blended revenue per stall</t>
        </is>
      </c>
      <c r="B39" s="7" t="inlineStr">
        <is>
          <t>$ / stall / mo</t>
        </is>
      </c>
      <c r="C39" s="12">
        <f>Revenue_NOI!$C$16</f>
        <v/>
      </c>
      <c r="D39" s="12">
        <f>Revenue_NOI!$D$16</f>
        <v/>
      </c>
      <c r="E39" s="12">
        <f>Revenue_NOI!$E$16</f>
        <v/>
      </c>
    </row>
    <row r="40">
      <c r="A40" s="26" t="inlineStr">
        <is>
          <t xml:space="preserve">   Rate gap</t>
        </is>
      </c>
      <c r="B40" s="7" t="inlineStr">
        <is>
          <t>%</t>
        </is>
      </c>
      <c r="C40" s="21">
        <f>Debt_DSCR!$C$35</f>
        <v/>
      </c>
      <c r="D40" s="21">
        <f>Debt_DSCR!$D$35</f>
        <v/>
      </c>
      <c r="E40" s="21">
        <f>Debt_DSCR!$E$35</f>
        <v/>
      </c>
    </row>
    <row r="41">
      <c r="A41" s="9" t="inlineStr">
        <is>
          <t>Maximum supportable cost per stall</t>
        </is>
      </c>
      <c r="B41" s="7" t="inlineStr">
        <is>
          <t>$ / stall</t>
        </is>
      </c>
      <c r="C41" s="12">
        <f>Debt_DSCR!$C$37</f>
        <v/>
      </c>
      <c r="D41" s="12">
        <f>Debt_DSCR!$D$37</f>
        <v/>
      </c>
      <c r="E41" s="12">
        <f>Debt_DSCR!$E$37</f>
        <v/>
      </c>
    </row>
    <row r="42">
      <c r="A42" s="9" t="inlineStr">
        <is>
          <t>Maximum supportable land price</t>
        </is>
      </c>
      <c r="B42" s="7" t="inlineStr">
        <is>
          <t>$ / acre</t>
        </is>
      </c>
      <c r="C42" s="12">
        <f>Debt_DSCR!$C$39</f>
        <v/>
      </c>
      <c r="D42" s="12">
        <f>Debt_DSCR!$D$39</f>
        <v/>
      </c>
      <c r="E42" s="12">
        <f>Debt_DSCR!$E$39</f>
        <v/>
      </c>
      <c r="F42" s="19" t="inlineStr">
        <is>
          <t>Residual land value. Negative means the improvements alone cost more than the income can carry.</t>
        </is>
      </c>
    </row>
    <row r="43">
      <c r="A43" s="6" t="inlineStr">
        <is>
          <t>Break-even occupancy</t>
        </is>
      </c>
      <c r="B43" s="7" t="inlineStr">
        <is>
          <t>% of stabilized</t>
        </is>
      </c>
      <c r="C43" s="21">
        <f>Debt_DSCR!$C$40</f>
        <v/>
      </c>
      <c r="D43" s="21">
        <f>Debt_DSCR!$D$40</f>
        <v/>
      </c>
      <c r="E43" s="21">
        <f>Debt_DSCR!$E$40</f>
        <v/>
      </c>
    </row>
    <row r="45">
      <c r="A45" s="9" t="inlineStr">
        <is>
          <t>LEGEND</t>
        </is>
      </c>
    </row>
    <row r="46">
      <c r="A46" s="27" t="inlineStr">
        <is>
          <t>Blue text = hardcoded input or scenario lever. Edit these on the Assumptions tab.</t>
        </is>
      </c>
    </row>
    <row r="47">
      <c r="A47" s="6" t="inlineStr">
        <is>
          <t>Black text = formula calculated on this sheet.</t>
        </is>
      </c>
    </row>
    <row r="48">
      <c r="A48" s="28" t="inlineStr">
        <is>
          <t>Green text = link pulled from another tab.</t>
        </is>
      </c>
    </row>
    <row r="49">
      <c r="A49" s="29" t="inlineStr">
        <is>
          <t>Yellow fill = key assumption that materially moves the answer; pressure-test it first.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5"/>
  <sheetViews>
    <sheetView showGridLines="0" workbookViewId="0">
      <pane ySplit="4" topLeftCell="A5" activePane="bottomLeft" state="frozen"/>
      <selection pane="bottomLeft" activeCell="A1" sqref="A1"/>
    </sheetView>
  </sheetViews>
  <sheetFormatPr baseColWidth="8" defaultRowHeight="15"/>
  <cols>
    <col width="46" customWidth="1" min="1" max="1"/>
    <col width="17" customWidth="1" min="2" max="2"/>
    <col width="15" customWidth="1" min="3" max="3"/>
    <col width="15" customWidth="1" min="4" max="4"/>
    <col width="15" customWidth="1" min="5" max="5"/>
    <col width="62" customWidth="1" min="6" max="6"/>
  </cols>
  <sheetData>
    <row r="1">
      <c r="A1" s="1" t="inlineStr">
        <is>
          <t>Bloomfield, CT  |  Truck Parking Development  -  Assumptions</t>
        </is>
      </c>
    </row>
    <row r="2">
      <c r="A2" s="2" t="inlineStr">
        <is>
          <t>Blue = hardcoded input / scenario lever.  Black = formula.  Yellow fill = key assumption to pressure-test.</t>
        </is>
      </c>
    </row>
    <row r="4" ht="30" customHeight="1">
      <c r="A4" s="3" t="inlineStr">
        <is>
          <t>Assumption</t>
        </is>
      </c>
      <c r="B4" s="3" t="inlineStr">
        <is>
          <t>Unit / Basis</t>
        </is>
      </c>
      <c r="C4" s="4" t="inlineStr">
        <is>
          <t>S1  Greenfield Full Asphalt</t>
        </is>
      </c>
      <c r="D4" s="4" t="inlineStr">
        <is>
          <t>S2  Greenfield Value-Eng.</t>
        </is>
      </c>
      <c r="E4" s="4" t="inlineStr">
        <is>
          <t>S3  Retrofit Existing Yard</t>
        </is>
      </c>
      <c r="F4" s="4" t="inlineStr">
        <is>
          <t>Basis / Source</t>
        </is>
      </c>
    </row>
    <row r="5">
      <c r="A5" s="5" t="inlineStr">
        <is>
          <t>1.  SITE &amp; PROGRAM</t>
        </is>
      </c>
      <c r="B5" s="5" t="n"/>
      <c r="C5" s="5" t="n"/>
      <c r="D5" s="5" t="n"/>
      <c r="E5" s="5" t="n"/>
      <c r="F5" s="5" t="n"/>
      <c r="G5" s="5" t="n"/>
    </row>
    <row r="6">
      <c r="A6" s="6" t="inlineStr">
        <is>
          <t>Gross site area</t>
        </is>
      </c>
      <c r="B6" s="7" t="inlineStr">
        <is>
          <t>acres</t>
        </is>
      </c>
      <c r="C6" s="30" t="n">
        <v>10</v>
      </c>
      <c r="D6" s="30" t="n">
        <v>10</v>
      </c>
      <c r="E6" s="30" t="n">
        <v>8</v>
      </c>
      <c r="F6" s="19" t="inlineStr">
        <is>
          <t>Target: I-1 / PID industrial parcel, Bloomfield (Blue Hills Ave / Tobey Rd / Douglas St corridor), ~10 min to I-91 via Rts 218/291.</t>
        </is>
      </c>
    </row>
    <row r="7">
      <c r="A7" s="29" t="inlineStr">
        <is>
          <t>Net yard efficiency (paveable / gross)</t>
        </is>
      </c>
      <c r="B7" s="31" t="inlineStr">
        <is>
          <t>% of gross</t>
        </is>
      </c>
      <c r="C7" s="32" t="n">
        <v>0.72</v>
      </c>
      <c r="D7" s="32" t="n">
        <v>0.72</v>
      </c>
      <c r="E7" s="32" t="n">
        <v>0.78</v>
      </c>
      <c r="F7" s="19" t="inlineStr">
        <is>
          <t>Deductions: front/side setbacks, landscape buffer, stormwater basin, wetland buffer, entry drive, auto parking. S3 higher - already improved.</t>
        </is>
      </c>
    </row>
    <row r="8">
      <c r="A8" s="29" t="inlineStr">
        <is>
          <t>Paved area per stall (incl. drive aisle)</t>
        </is>
      </c>
      <c r="B8" s="31" t="inlineStr">
        <is>
          <t>SF / stall</t>
        </is>
      </c>
      <c r="C8" s="33" t="n">
        <v>1450</v>
      </c>
      <c r="D8" s="33" t="n">
        <v>1450</v>
      </c>
      <c r="E8" s="33" t="n">
        <v>1450</v>
      </c>
      <c r="F8" s="19" t="inlineStr">
        <is>
          <t>12' x 75' stall = 900 SF + half of a 75' back-in aisle (450 SF) + 100 SF cross-lanes/tapers.</t>
        </is>
      </c>
    </row>
    <row r="9">
      <c r="A9" s="9" t="inlineStr">
        <is>
          <t>Truck stalls (53' tractor-trailer)</t>
        </is>
      </c>
      <c r="B9" s="7" t="inlineStr">
        <is>
          <t>stalls</t>
        </is>
      </c>
      <c r="C9" s="34">
        <f>ROUNDDOWN($C$6*43560*$C$7/$C$8,0)</f>
        <v/>
      </c>
      <c r="D9" s="34">
        <f>ROUNDDOWN($D$6*43560*$D$7/$D$8,0)</f>
        <v/>
      </c>
      <c r="E9" s="34">
        <f>ROUNDDOWN($E$6*43560*$E$7/$E$8,0)</f>
        <v/>
      </c>
      <c r="F9" s="19" t="inlineStr">
        <is>
          <t>Implied density shown below; industry rule of thumb is 20-25 stalls per gross acre.</t>
        </is>
      </c>
    </row>
    <row r="10">
      <c r="A10" s="20" t="inlineStr">
        <is>
          <t xml:space="preserve">   Implied density</t>
        </is>
      </c>
      <c r="B10" s="7" t="inlineStr">
        <is>
          <t>stalls / gross acre</t>
        </is>
      </c>
      <c r="C10" s="35">
        <f>$C$9/$C$6</f>
        <v/>
      </c>
      <c r="D10" s="35">
        <f>$D$9/$D$6</f>
        <v/>
      </c>
      <c r="E10" s="35">
        <f>$E$9/$E$6</f>
        <v/>
      </c>
    </row>
    <row r="11">
      <c r="A11" s="6" t="inlineStr">
        <is>
          <t>Paved yard area</t>
        </is>
      </c>
      <c r="B11" s="7" t="inlineStr">
        <is>
          <t>SF</t>
        </is>
      </c>
      <c r="C11" s="36">
        <f>$C$9*$C$8</f>
        <v/>
      </c>
      <c r="D11" s="36">
        <f>$D$9*$D$8</f>
        <v/>
      </c>
      <c r="E11" s="36">
        <f>$E$9*$E$8</f>
        <v/>
      </c>
    </row>
    <row r="12">
      <c r="A12" s="6" t="inlineStr">
        <is>
          <t>Paved yard area</t>
        </is>
      </c>
      <c r="B12" s="7" t="inlineStr">
        <is>
          <t>acres</t>
        </is>
      </c>
      <c r="C12" s="37">
        <f>$C$11/43560</f>
        <v/>
      </c>
      <c r="D12" s="37">
        <f>$D$11/43560</f>
        <v/>
      </c>
      <c r="E12" s="37">
        <f>$E$11/43560</f>
        <v/>
      </c>
    </row>
    <row r="13">
      <c r="A13" s="6" t="inlineStr">
        <is>
          <t>Perimeter fence length</t>
        </is>
      </c>
      <c r="B13" s="7" t="inlineStr">
        <is>
          <t>LF</t>
        </is>
      </c>
      <c r="C13" s="36">
        <f>ROUND(4*SQRT($C$6*43560),0)</f>
        <v/>
      </c>
      <c r="D13" s="36">
        <f>ROUND(4*SQRT($D$6*43560),0)</f>
        <v/>
      </c>
      <c r="E13" s="36">
        <f>ROUND(4*SQRT($E$6*43560),0)</f>
        <v/>
      </c>
      <c r="F13" s="19" t="inlineStr">
        <is>
          <t>Square-site approximation: 4 x SQRT(site SF). Irregular parcels run 10-25% longer.</t>
        </is>
      </c>
    </row>
    <row r="14">
      <c r="A14" s="5" t="inlineStr">
        <is>
          <t>2.  LAND / SITE ACQUISITION</t>
        </is>
      </c>
      <c r="B14" s="5" t="n"/>
      <c r="C14" s="5" t="n"/>
      <c r="D14" s="5" t="n"/>
      <c r="E14" s="5" t="n"/>
      <c r="F14" s="5" t="n"/>
      <c r="G14" s="5" t="n"/>
    </row>
    <row r="15">
      <c r="A15" s="29" t="inlineStr">
        <is>
          <t>Land price</t>
        </is>
      </c>
      <c r="B15" s="31" t="inlineStr">
        <is>
          <t>$ / acre</t>
        </is>
      </c>
      <c r="C15" s="38" t="n">
        <v>175000</v>
      </c>
      <c r="D15" s="38" t="n">
        <v>175000</v>
      </c>
      <c r="E15" s="38" t="n">
        <v>385000</v>
      </c>
      <c r="F15" s="19" t="inlineStr">
        <is>
          <t>Hartford-metro industrial land. Raw unentitled Bloomfield acreage $100-200k/ac; already-paved improved yard (S3) $325-450k/ac. CT industrial land avg ~$110k/ac (LandSearch).</t>
        </is>
      </c>
    </row>
    <row r="16">
      <c r="A16" s="9" t="inlineStr">
        <is>
          <t>Land / acquisition cost</t>
        </is>
      </c>
      <c r="B16" s="7" t="inlineStr">
        <is>
          <t>$</t>
        </is>
      </c>
      <c r="C16" s="23">
        <f>$C$15*$C$6</f>
        <v/>
      </c>
      <c r="D16" s="23">
        <f>$D$15*$D$6</f>
        <v/>
      </c>
      <c r="E16" s="23">
        <f>$E$15*$E$6</f>
        <v/>
      </c>
    </row>
    <row r="17">
      <c r="A17" s="6" t="inlineStr">
        <is>
          <t>Acquisition closing costs</t>
        </is>
      </c>
      <c r="B17" s="7" t="inlineStr">
        <is>
          <t>% of price</t>
        </is>
      </c>
      <c r="C17" s="39" t="n">
        <v>0.022</v>
      </c>
      <c r="D17" s="39" t="n">
        <v>0.022</v>
      </c>
      <c r="E17" s="39" t="n">
        <v>0.022</v>
      </c>
      <c r="F17" s="19" t="inlineStr">
        <is>
          <t>CT conveyance tax, title, survey update, buyer legal, broker cost share.</t>
        </is>
      </c>
    </row>
    <row r="18">
      <c r="A18" s="5" t="inlineStr">
        <is>
          <t>3.  REVENUE</t>
        </is>
      </c>
      <c r="B18" s="5" t="n"/>
      <c r="C18" s="5" t="n"/>
      <c r="D18" s="5" t="n"/>
      <c r="E18" s="5" t="n"/>
      <c r="F18" s="5" t="n"/>
      <c r="G18" s="5" t="n"/>
    </row>
    <row r="19">
      <c r="A19" s="29" t="inlineStr">
        <is>
          <t>Stalls sold as monthly reserved</t>
        </is>
      </c>
      <c r="B19" s="31" t="inlineStr">
        <is>
          <t>% of stalls</t>
        </is>
      </c>
      <c r="C19" s="32" t="n">
        <v>0.8</v>
      </c>
      <c r="D19" s="32" t="n">
        <v>0.8</v>
      </c>
      <c r="E19" s="32" t="n">
        <v>0.85</v>
      </c>
      <c r="F19" s="19" t="inlineStr">
        <is>
          <t>Bloomfield is an off-highway 'home-base / drop-lot' market, not a highway truck stop. Monthly contracts dominate; balance sold transient.</t>
        </is>
      </c>
    </row>
    <row r="20">
      <c r="A20" s="29" t="inlineStr">
        <is>
          <t>Monthly reserved rate</t>
        </is>
      </c>
      <c r="B20" s="31" t="inlineStr">
        <is>
          <t>$ / stall / month</t>
        </is>
      </c>
      <c r="C20" s="38" t="n">
        <v>340</v>
      </c>
      <c r="D20" s="38" t="n">
        <v>315</v>
      </c>
      <c r="E20" s="38" t="n">
        <v>325</v>
      </c>
      <c r="F20" s="19" t="inlineStr">
        <is>
          <t>Secured, lit, gated 53' stall. Northeast private lots run $150-500/mo; Hartford metro is the low end of that band. S1 premium for full pave + staffing.</t>
        </is>
      </c>
    </row>
    <row r="21">
      <c r="A21" s="6" t="inlineStr">
        <is>
          <t>Stabilized occupancy - monthly stalls</t>
        </is>
      </c>
      <c r="B21" s="7" t="inlineStr">
        <is>
          <t>%</t>
        </is>
      </c>
      <c r="C21" s="39" t="n">
        <v>0.9</v>
      </c>
      <c r="D21" s="39" t="n">
        <v>0.88</v>
      </c>
      <c r="E21" s="39" t="n">
        <v>0.9</v>
      </c>
      <c r="F21" s="19" t="inlineStr">
        <is>
          <t>Tech-enabled operators report 92-98% at stabilization; 88-90% underwritten.</t>
        </is>
      </c>
    </row>
    <row r="22">
      <c r="A22" s="6" t="inlineStr">
        <is>
          <t>Transient rate</t>
        </is>
      </c>
      <c r="B22" s="7" t="inlineStr">
        <is>
          <t>$ / stall / night</t>
        </is>
      </c>
      <c r="C22" s="40" t="n">
        <v>26</v>
      </c>
      <c r="D22" s="40" t="n">
        <v>24</v>
      </c>
      <c r="E22" s="40" t="n">
        <v>25</v>
      </c>
      <c r="F22" s="19" t="inlineStr">
        <is>
          <t>Chain travel centers charge $12-25/night for reserved parking; secured off-highway lots price at the top of that band.</t>
        </is>
      </c>
    </row>
    <row r="23">
      <c r="A23" s="6" t="inlineStr">
        <is>
          <t>Stabilized utilization - transient stalls</t>
        </is>
      </c>
      <c r="B23" s="7" t="inlineStr">
        <is>
          <t>% of nights</t>
        </is>
      </c>
      <c r="C23" s="39" t="n">
        <v>0.62</v>
      </c>
      <c r="D23" s="39" t="n">
        <v>0.58</v>
      </c>
      <c r="E23" s="39" t="n">
        <v>0.6</v>
      </c>
    </row>
    <row r="24">
      <c r="A24" s="6" t="inlineStr">
        <is>
          <t>Ancillary revenue</t>
        </is>
      </c>
      <c r="B24" s="7" t="inlineStr">
        <is>
          <t>% of parking EGI</t>
        </is>
      </c>
      <c r="C24" s="39" t="n">
        <v>0.05</v>
      </c>
      <c r="D24" s="39" t="n">
        <v>0.03</v>
      </c>
      <c r="E24" s="39" t="n">
        <v>0.035</v>
      </c>
      <c r="F24" s="19" t="inlineStr">
        <is>
          <t>Reefer/APU plug-in fees, unpowered trailer storage, vendor space rent (mobile repair/tire), vending, wash bay referral. S1 has driver services building.</t>
        </is>
      </c>
    </row>
    <row r="25">
      <c r="A25" s="6" t="inlineStr">
        <is>
          <t>Credit loss / bad debt</t>
        </is>
      </c>
      <c r="B25" s="7" t="inlineStr">
        <is>
          <t>% of gross rent</t>
        </is>
      </c>
      <c r="C25" s="39" t="n">
        <v>0.02</v>
      </c>
      <c r="D25" s="39" t="n">
        <v>0.02</v>
      </c>
      <c r="E25" s="39" t="n">
        <v>0.02</v>
      </c>
      <c r="F25" s="19" t="inlineStr">
        <is>
          <t>Owner-operator credit is thin; prepay + card-on-file mitigates.</t>
        </is>
      </c>
    </row>
    <row r="26">
      <c r="A26" s="6" t="inlineStr">
        <is>
          <t>Revenue growth</t>
        </is>
      </c>
      <c r="B26" s="7" t="inlineStr">
        <is>
          <t>% p.a.</t>
        </is>
      </c>
      <c r="C26" s="39" t="n">
        <v>0.03</v>
      </c>
      <c r="D26" s="39" t="n">
        <v>0.03</v>
      </c>
      <c r="E26" s="39" t="n">
        <v>0.03</v>
      </c>
    </row>
    <row r="27">
      <c r="A27" s="5" t="inlineStr">
        <is>
          <t>4.  OPERATING EXPENSES  (Year-1 stabilized dollars)</t>
        </is>
      </c>
      <c r="B27" s="5" t="n"/>
      <c r="C27" s="5" t="n"/>
      <c r="D27" s="5" t="n"/>
      <c r="E27" s="5" t="n"/>
      <c r="F27" s="5" t="n"/>
      <c r="G27" s="5" t="n"/>
    </row>
    <row r="28">
      <c r="A28" s="29" t="inlineStr">
        <is>
          <t>Bloomfield mill rate</t>
        </is>
      </c>
      <c r="B28" s="31" t="inlineStr">
        <is>
          <t>mills</t>
        </is>
      </c>
      <c r="C28" s="41" t="n">
        <v>34.4</v>
      </c>
      <c r="D28" s="41" t="n">
        <v>34.4</v>
      </c>
      <c r="E28" s="41" t="n">
        <v>34.4</v>
      </c>
      <c r="F28" s="19" t="inlineStr">
        <is>
          <t>2025 Grand List adopted mill rate for real &amp; personal property (Town of Bloomfield); year 2 of a 4-year revaluation phase-in. FY26 budget forum projected ~34.03.</t>
        </is>
      </c>
    </row>
    <row r="29">
      <c r="A29" s="6" t="inlineStr">
        <is>
          <t>CT assessment ratio</t>
        </is>
      </c>
      <c r="B29" s="7" t="inlineStr">
        <is>
          <t>% of market value</t>
        </is>
      </c>
      <c r="C29" s="39" t="n">
        <v>0.7</v>
      </c>
      <c r="D29" s="39" t="n">
        <v>0.7</v>
      </c>
      <c r="E29" s="39" t="n">
        <v>0.7</v>
      </c>
      <c r="F29" s="19" t="inlineStr">
        <is>
          <t>Statutory: CT assesses at 70% of fair market value.</t>
        </is>
      </c>
    </row>
    <row r="30">
      <c r="A30" s="6" t="inlineStr">
        <is>
          <t>Assessor value - land</t>
        </is>
      </c>
      <c r="B30" s="7" t="inlineStr">
        <is>
          <t>% of land cost</t>
        </is>
      </c>
      <c r="C30" s="39" t="n">
        <v>1</v>
      </c>
      <c r="D30" s="39" t="n">
        <v>1</v>
      </c>
      <c r="E30" s="39" t="n">
        <v>1</v>
      </c>
    </row>
    <row r="31">
      <c r="A31" s="29" t="inlineStr">
        <is>
          <t>Assessor value - improvements</t>
        </is>
      </c>
      <c r="B31" s="31" t="inlineStr">
        <is>
          <t>% of improvement cost</t>
        </is>
      </c>
      <c r="C31" s="32" t="n">
        <v>0.45</v>
      </c>
      <c r="D31" s="32" t="n">
        <v>0.45</v>
      </c>
      <c r="E31" s="32" t="n">
        <v>0.45</v>
      </c>
      <c r="F31" s="19" t="inlineStr">
        <is>
          <t>LARGEST SINGLE MODELING UNCERTAINTY. Site improvements (paving, fence, lighting) are typically assessed well below cost, but a CT assessor can also value on the income approach. Sensitized on the Sensitivity tab.</t>
        </is>
      </c>
    </row>
    <row r="32">
      <c r="A32" s="6" t="inlineStr">
        <is>
          <t>Insurance - GL, property, garagekeepers</t>
        </is>
      </c>
      <c r="B32" s="7" t="inlineStr">
        <is>
          <t>$ / stall / yr</t>
        </is>
      </c>
      <c r="C32" s="40" t="n">
        <v>230</v>
      </c>
      <c r="D32" s="40" t="n">
        <v>210</v>
      </c>
      <c r="E32" s="40" t="n">
        <v>220</v>
      </c>
      <c r="F32" s="19" t="inlineStr">
        <is>
          <t>Garagekeepers legal liability is the coverage IOS truck-parking operators must carry beyond standard GL.</t>
        </is>
      </c>
    </row>
    <row r="33">
      <c r="A33" s="6" t="inlineStr">
        <is>
          <t>On-site staffing / attendant</t>
        </is>
      </c>
      <c r="B33" s="7" t="inlineStr">
        <is>
          <t>$ / yr</t>
        </is>
      </c>
      <c r="C33" s="40" t="n">
        <v>165000</v>
      </c>
      <c r="D33" s="40" t="n">
        <v>0</v>
      </c>
      <c r="E33" s="40" t="n">
        <v>0</v>
      </c>
      <c r="F33" s="19" t="inlineStr">
        <is>
          <t>S1 assumes 16 hr/day attended gate. S2/S3 are unmanned, tech-gated.</t>
        </is>
      </c>
    </row>
    <row r="34">
      <c r="A34" s="6" t="inlineStr">
        <is>
          <t>Remote monitoring + roving patrol</t>
        </is>
      </c>
      <c r="B34" s="7" t="inlineStr">
        <is>
          <t>$ / yr</t>
        </is>
      </c>
      <c r="C34" s="40" t="n">
        <v>42000</v>
      </c>
      <c r="D34" s="40" t="n">
        <v>52000</v>
      </c>
      <c r="E34" s="40" t="n">
        <v>50000</v>
      </c>
      <c r="F34" s="19" t="inlineStr">
        <is>
          <t>Unmanned sites carry a heavier monitoring/patrol contract.</t>
        </is>
      </c>
    </row>
    <row r="35">
      <c r="A35" s="29" t="inlineStr">
        <is>
          <t>Snow &amp; ice management</t>
        </is>
      </c>
      <c r="B35" s="31" t="inlineStr">
        <is>
          <t>$ / paved acre / yr</t>
        </is>
      </c>
      <c r="C35" s="38" t="n">
        <v>8800</v>
      </c>
      <c r="D35" s="38" t="n">
        <v>8200</v>
      </c>
      <c r="E35" s="38" t="n">
        <v>8800</v>
      </c>
      <c r="F35" s="19" t="inlineStr">
        <is>
          <t>CT: ~18-22 plow events/season plus salting on a large yard. Real cost driver in this climate; gravel stalls (S2) plow slightly cheaper but rut.</t>
        </is>
      </c>
    </row>
    <row r="36">
      <c r="A36" s="6" t="inlineStr">
        <is>
          <t>Repairs, maintenance, sweeping, striping</t>
        </is>
      </c>
      <c r="B36" s="7" t="inlineStr">
        <is>
          <t>$ / stall / yr</t>
        </is>
      </c>
      <c r="C36" s="40" t="n">
        <v>210</v>
      </c>
      <c r="D36" s="40" t="n">
        <v>235</v>
      </c>
      <c r="E36" s="40" t="n">
        <v>225</v>
      </c>
      <c r="F36" s="19" t="inlineStr">
        <is>
          <t>S2 higher: millings surface needs annual regrading and dust control.</t>
        </is>
      </c>
    </row>
    <row r="37">
      <c r="A37" s="6" t="inlineStr">
        <is>
          <t>Utilities - lighting, water, sewer, telecom</t>
        </is>
      </c>
      <c r="B37" s="7" t="inlineStr">
        <is>
          <t>$ / stall / yr</t>
        </is>
      </c>
      <c r="C37" s="40" t="n">
        <v>165</v>
      </c>
      <c r="D37" s="40" t="n">
        <v>145</v>
      </c>
      <c r="E37" s="40" t="n">
        <v>150</v>
      </c>
    </row>
    <row r="38">
      <c r="A38" s="6" t="inlineStr">
        <is>
          <t>Trash, restrooms, janitorial</t>
        </is>
      </c>
      <c r="B38" s="7" t="inlineStr">
        <is>
          <t>$ / stall / yr</t>
        </is>
      </c>
      <c r="C38" s="40" t="n">
        <v>95</v>
      </c>
      <c r="D38" s="40" t="n">
        <v>70</v>
      </c>
      <c r="E38" s="40" t="n">
        <v>75</v>
      </c>
    </row>
    <row r="39">
      <c r="A39" s="6" t="inlineStr">
        <is>
          <t>Property management fee</t>
        </is>
      </c>
      <c r="B39" s="7" t="inlineStr">
        <is>
          <t>% of EGI</t>
        </is>
      </c>
      <c r="C39" s="39" t="n">
        <v>0.04</v>
      </c>
      <c r="D39" s="39" t="n">
        <v>0.04</v>
      </c>
      <c r="E39" s="39" t="n">
        <v>0.04</v>
      </c>
    </row>
    <row r="40">
      <c r="A40" s="6" t="inlineStr">
        <is>
          <t>Payment processing + reservation platform</t>
        </is>
      </c>
      <c r="B40" s="7" t="inlineStr">
        <is>
          <t>% of parking revenue</t>
        </is>
      </c>
      <c r="C40" s="39" t="n">
        <v>0.02</v>
      </c>
      <c r="D40" s="39" t="n">
        <v>0.015</v>
      </c>
      <c r="E40" s="39" t="n">
        <v>0.015</v>
      </c>
      <c r="F40" s="19" t="inlineStr">
        <is>
          <t>Monthly ACH ~1%; card/transient 2.9% + platform fee. Blended by revenue mix.</t>
        </is>
      </c>
    </row>
    <row r="41">
      <c r="A41" s="6" t="inlineStr">
        <is>
          <t>Marketing &amp; leasing</t>
        </is>
      </c>
      <c r="B41" s="7" t="inlineStr">
        <is>
          <t>$ / stall / yr</t>
        </is>
      </c>
      <c r="C41" s="40" t="n">
        <v>75</v>
      </c>
      <c r="D41" s="40" t="n">
        <v>85</v>
      </c>
      <c r="E41" s="40" t="n">
        <v>80</v>
      </c>
    </row>
    <row r="42">
      <c r="A42" s="6" t="inlineStr">
        <is>
          <t>Professional fees, legal, accounting, admin</t>
        </is>
      </c>
      <c r="B42" s="7" t="inlineStr">
        <is>
          <t>$ / yr</t>
        </is>
      </c>
      <c r="C42" s="40" t="n">
        <v>22000</v>
      </c>
      <c r="D42" s="40" t="n">
        <v>18000</v>
      </c>
      <c r="E42" s="40" t="n">
        <v>18000</v>
      </c>
    </row>
    <row r="43">
      <c r="A43" s="6" t="inlineStr">
        <is>
          <t>Replacement reserve (pavement / equipment)</t>
        </is>
      </c>
      <c r="B43" s="7" t="inlineStr">
        <is>
          <t>$ / stall / yr</t>
        </is>
      </c>
      <c r="C43" s="40" t="n">
        <v>165</v>
      </c>
      <c r="D43" s="40" t="n">
        <v>195</v>
      </c>
      <c r="E43" s="40" t="n">
        <v>185</v>
      </c>
      <c r="F43" s="19" t="inlineStr">
        <is>
          <t>Deducted before NOI for DSCR purposes - lenders size to a reserve-burdened NOI.</t>
        </is>
      </c>
    </row>
    <row r="44">
      <c r="A44" s="6" t="inlineStr">
        <is>
          <t>Opex growth</t>
        </is>
      </c>
      <c r="B44" s="7" t="inlineStr">
        <is>
          <t>% p.a.</t>
        </is>
      </c>
      <c r="C44" s="39" t="n">
        <v>0.03</v>
      </c>
      <c r="D44" s="39" t="n">
        <v>0.03</v>
      </c>
      <c r="E44" s="39" t="n">
        <v>0.03</v>
      </c>
    </row>
    <row r="45">
      <c r="A45" s="5" t="inlineStr">
        <is>
          <t>5.  DEVELOPMENT SOFT-COST LOADINGS  (% of hard cost)</t>
        </is>
      </c>
      <c r="B45" s="5" t="n"/>
      <c r="C45" s="5" t="n"/>
      <c r="D45" s="5" t="n"/>
      <c r="E45" s="5" t="n"/>
      <c r="F45" s="5" t="n"/>
      <c r="G45" s="5" t="n"/>
    </row>
    <row r="46">
      <c r="A46" s="6" t="inlineStr">
        <is>
          <t>Construction management / owner's rep</t>
        </is>
      </c>
      <c r="B46" s="7" t="inlineStr">
        <is>
          <t>% of hard</t>
        </is>
      </c>
      <c r="C46" s="39" t="n">
        <v>0.03</v>
      </c>
      <c r="D46" s="39" t="n">
        <v>0.03</v>
      </c>
      <c r="E46" s="39" t="n">
        <v>0.03</v>
      </c>
    </row>
    <row r="47">
      <c r="A47" s="6" t="inlineStr">
        <is>
          <t>Testing, inspection, materials QA</t>
        </is>
      </c>
      <c r="B47" s="7" t="inlineStr">
        <is>
          <t>% of hard</t>
        </is>
      </c>
      <c r="C47" s="39" t="n">
        <v>0.008999999999999999</v>
      </c>
      <c r="D47" s="39" t="n">
        <v>0.008999999999999999</v>
      </c>
      <c r="E47" s="39" t="n">
        <v>0.008999999999999999</v>
      </c>
    </row>
    <row r="48">
      <c r="A48" s="6" t="inlineStr">
        <is>
          <t>Builder's risk &amp; GL during construction</t>
        </is>
      </c>
      <c r="B48" s="7" t="inlineStr">
        <is>
          <t>% of hard</t>
        </is>
      </c>
      <c r="C48" s="39" t="n">
        <v>0.011</v>
      </c>
      <c r="D48" s="39" t="n">
        <v>0.011</v>
      </c>
      <c r="E48" s="39" t="n">
        <v>0.011</v>
      </c>
    </row>
    <row r="49">
      <c r="A49" s="6" t="inlineStr">
        <is>
          <t>Performance / payment bonds</t>
        </is>
      </c>
      <c r="B49" s="7" t="inlineStr">
        <is>
          <t>% of hard</t>
        </is>
      </c>
      <c r="C49" s="39" t="n">
        <v>0.01</v>
      </c>
      <c r="D49" s="39" t="n">
        <v>0</v>
      </c>
      <c r="E49" s="39" t="n">
        <v>0</v>
      </c>
      <c r="F49" s="19" t="inlineStr">
        <is>
          <t>S1 institutional spec only.</t>
        </is>
      </c>
    </row>
    <row r="50">
      <c r="A50" s="29" t="inlineStr">
        <is>
          <t>Contingency</t>
        </is>
      </c>
      <c r="B50" s="31" t="inlineStr">
        <is>
          <t>% of hard + soft</t>
        </is>
      </c>
      <c r="C50" s="32" t="n">
        <v>0.12</v>
      </c>
      <c r="D50" s="32" t="n">
        <v>0.12</v>
      </c>
      <c r="E50" s="32" t="n">
        <v>0.15</v>
      </c>
      <c r="F50" s="19" t="inlineStr">
        <is>
          <t>S3 carries 15%: retrofit of an existing yard has subsurface and pavement-condition unknowns.</t>
        </is>
      </c>
    </row>
    <row r="51">
      <c r="A51" s="5" t="inlineStr">
        <is>
          <t>6.  FINANCING</t>
        </is>
      </c>
      <c r="B51" s="5" t="n"/>
      <c r="C51" s="5" t="n"/>
      <c r="D51" s="5" t="n"/>
      <c r="E51" s="5" t="n"/>
      <c r="F51" s="5" t="n"/>
      <c r="G51" s="5" t="n"/>
    </row>
    <row r="52">
      <c r="A52" s="6" t="inlineStr">
        <is>
          <t>Construction loan - loan to cost</t>
        </is>
      </c>
      <c r="B52" s="7" t="inlineStr">
        <is>
          <t>%</t>
        </is>
      </c>
      <c r="C52" s="39" t="n">
        <v>0.6</v>
      </c>
      <c r="D52" s="39" t="n">
        <v>0.6</v>
      </c>
      <c r="E52" s="39" t="n">
        <v>0.6</v>
      </c>
    </row>
    <row r="53">
      <c r="A53" s="6" t="inlineStr">
        <is>
          <t>Construction loan - interest rate</t>
        </is>
      </c>
      <c r="B53" s="7" t="inlineStr">
        <is>
          <t>%</t>
        </is>
      </c>
      <c r="C53" s="39" t="n">
        <v>0.0825</v>
      </c>
      <c r="D53" s="39" t="n">
        <v>0.0825</v>
      </c>
      <c r="E53" s="39" t="n">
        <v>0.0825</v>
      </c>
      <c r="F53" s="19" t="inlineStr">
        <is>
          <t>SOFR + ~325 bps. 2026 industrial bridge quotes 7.5%-9.5%.</t>
        </is>
      </c>
    </row>
    <row r="54">
      <c r="A54" s="6" t="inlineStr">
        <is>
          <t>Construction + lease-up carry period</t>
        </is>
      </c>
      <c r="B54" s="7" t="inlineStr">
        <is>
          <t>months</t>
        </is>
      </c>
      <c r="C54" s="42" t="n">
        <v>16</v>
      </c>
      <c r="D54" s="42" t="n">
        <v>14</v>
      </c>
      <c r="E54" s="42" t="n">
        <v>10</v>
      </c>
    </row>
    <row r="55">
      <c r="A55" s="6" t="inlineStr">
        <is>
          <t>Average draw balance</t>
        </is>
      </c>
      <c r="B55" s="7" t="inlineStr">
        <is>
          <t>% of loan</t>
        </is>
      </c>
      <c r="C55" s="39" t="n">
        <v>0.55</v>
      </c>
      <c r="D55" s="39" t="n">
        <v>0.55</v>
      </c>
      <c r="E55" s="39" t="n">
        <v>0.6</v>
      </c>
    </row>
    <row r="56">
      <c r="A56" s="6" t="inlineStr">
        <is>
          <t>Construction loan origination</t>
        </is>
      </c>
      <c r="B56" s="7" t="inlineStr">
        <is>
          <t>% of loan</t>
        </is>
      </c>
      <c r="C56" s="39" t="n">
        <v>0.01</v>
      </c>
      <c r="D56" s="39" t="n">
        <v>0.01</v>
      </c>
      <c r="E56" s="39" t="n">
        <v>0.01</v>
      </c>
    </row>
    <row r="57">
      <c r="A57" s="6" t="inlineStr">
        <is>
          <t>Lender costs - appraisal, environmental, legal, title</t>
        </is>
      </c>
      <c r="B57" s="7" t="inlineStr">
        <is>
          <t>$</t>
        </is>
      </c>
      <c r="C57" s="40" t="n">
        <v>65000</v>
      </c>
      <c r="D57" s="40" t="n">
        <v>65000</v>
      </c>
      <c r="E57" s="40" t="n">
        <v>60000</v>
      </c>
    </row>
    <row r="58">
      <c r="A58" s="6" t="inlineStr">
        <is>
          <t>Permanent loan - max loan to cost</t>
        </is>
      </c>
      <c r="B58" s="7" t="inlineStr">
        <is>
          <t>%</t>
        </is>
      </c>
      <c r="C58" s="39" t="n">
        <v>0.65</v>
      </c>
      <c r="D58" s="39" t="n">
        <v>0.65</v>
      </c>
      <c r="E58" s="39" t="n">
        <v>0.65</v>
      </c>
    </row>
    <row r="59">
      <c r="A59" s="6" t="inlineStr">
        <is>
          <t>Permanent loan - max loan to value</t>
        </is>
      </c>
      <c r="B59" s="7" t="inlineStr">
        <is>
          <t>%</t>
        </is>
      </c>
      <c r="C59" s="39" t="n">
        <v>0.65</v>
      </c>
      <c r="D59" s="39" t="n">
        <v>0.65</v>
      </c>
      <c r="E59" s="39" t="n">
        <v>0.65</v>
      </c>
    </row>
    <row r="60">
      <c r="A60" s="29" t="inlineStr">
        <is>
          <t>Permanent loan - interest rate</t>
        </is>
      </c>
      <c r="B60" s="31" t="inlineStr">
        <is>
          <t>%</t>
        </is>
      </c>
      <c r="C60" s="32" t="n">
        <v>0.0725</v>
      </c>
      <c r="D60" s="32" t="n">
        <v>0.0725</v>
      </c>
      <c r="E60" s="32" t="n">
        <v>0.0725</v>
      </c>
      <c r="F60" s="19" t="inlineStr">
        <is>
          <t>2026 commercial mortgage quotes start ~5.74%; IOS/truck parking is a niche collateral type and prices wider - 7.00-7.75% is realistic.</t>
        </is>
      </c>
    </row>
    <row r="61">
      <c r="A61" s="6" t="inlineStr">
        <is>
          <t>Permanent loan - amortization</t>
        </is>
      </c>
      <c r="B61" s="7" t="inlineStr">
        <is>
          <t>years</t>
        </is>
      </c>
      <c r="C61" s="42" t="n">
        <v>25</v>
      </c>
      <c r="D61" s="42" t="n">
        <v>25</v>
      </c>
      <c r="E61" s="42" t="n">
        <v>25</v>
      </c>
    </row>
    <row r="62">
      <c r="A62" s="29" t="inlineStr">
        <is>
          <t>Minimum DSCR (sizing constraint)</t>
        </is>
      </c>
      <c r="B62" s="31" t="inlineStr">
        <is>
          <t>x</t>
        </is>
      </c>
      <c r="C62" s="43" t="n">
        <v>1.25</v>
      </c>
      <c r="D62" s="43" t="n">
        <v>1.25</v>
      </c>
      <c r="E62" s="43" t="n">
        <v>1.25</v>
      </c>
      <c r="F62" s="19" t="inlineStr">
        <is>
          <t>Standard lender floor is 1.25x; non-core collateral such as IOS/truck parking is frequently sized to 1.30-1.40x.</t>
        </is>
      </c>
    </row>
    <row r="63">
      <c r="A63" s="29" t="inlineStr">
        <is>
          <t>Stabilized / exit cap rate</t>
        </is>
      </c>
      <c r="B63" s="31" t="inlineStr">
        <is>
          <t>%</t>
        </is>
      </c>
      <c r="C63" s="32" t="n">
        <v>0.075</v>
      </c>
      <c r="D63" s="32" t="n">
        <v>0.0775</v>
      </c>
      <c r="E63" s="32" t="n">
        <v>0.075</v>
      </c>
      <c r="F63" s="19" t="inlineStr">
        <is>
          <t>2026 IOS: 6.00-6.75% institutional primary, 6.75-7.75% secondary. Hartford is secondary; truck parking prices wider than leased IOS.</t>
        </is>
      </c>
    </row>
    <row r="64">
      <c r="A64" s="6" t="inlineStr">
        <is>
          <t>Lease-up opex reserve</t>
        </is>
      </c>
      <c r="B64" s="7" t="inlineStr">
        <is>
          <t>months of opex</t>
        </is>
      </c>
      <c r="C64" s="42" t="n">
        <v>6</v>
      </c>
      <c r="D64" s="42" t="n">
        <v>6</v>
      </c>
      <c r="E64" s="42" t="n">
        <v>6</v>
      </c>
    </row>
    <row r="65">
      <c r="A65" s="6" t="inlineStr">
        <is>
          <t>Launch marketing / pre-leasing budget</t>
        </is>
      </c>
      <c r="B65" s="7" t="inlineStr">
        <is>
          <t>$</t>
        </is>
      </c>
      <c r="C65" s="40" t="n">
        <v>85000</v>
      </c>
      <c r="D65" s="40" t="n">
        <v>85000</v>
      </c>
      <c r="E65" s="40" t="n">
        <v>75000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showGridLines="0" workbookViewId="0">
      <pane ySplit="4" topLeftCell="A5" activePane="bottomLeft" state="frozen"/>
      <selection pane="bottomLeft" activeCell="A1" sqref="A1"/>
    </sheetView>
  </sheetViews>
  <sheetFormatPr baseColWidth="8" defaultRowHeight="15"/>
  <cols>
    <col width="46" customWidth="1" min="1" max="1"/>
    <col width="17" customWidth="1" min="2" max="2"/>
    <col width="15" customWidth="1" min="3" max="3"/>
    <col width="15" customWidth="1" min="4" max="4"/>
    <col width="15" customWidth="1" min="5" max="5"/>
    <col width="62" customWidth="1" min="6" max="6"/>
  </cols>
  <sheetData>
    <row r="1">
      <c r="A1" s="1" t="inlineStr">
        <is>
          <t>Variable Capex  -  costs that scale directly with stall count</t>
        </is>
      </c>
    </row>
    <row r="2">
      <c r="A2" s="2" t="inlineStr">
        <is>
          <t>Unit costs are blue inputs. Everything here grows one-for-one with the size of the paved yard, so it sets the MARGINAL cost of a stall.</t>
        </is>
      </c>
    </row>
    <row r="4" ht="30" customHeight="1">
      <c r="A4" s="3" t="inlineStr">
        <is>
          <t>Cost item</t>
        </is>
      </c>
      <c r="B4" s="3" t="inlineStr">
        <is>
          <t>Unit</t>
        </is>
      </c>
      <c r="C4" s="4" t="inlineStr">
        <is>
          <t>S1  Greenfield Full Asphalt</t>
        </is>
      </c>
      <c r="D4" s="4" t="inlineStr">
        <is>
          <t>S2  Greenfield Value-Eng.</t>
        </is>
      </c>
      <c r="E4" s="4" t="inlineStr">
        <is>
          <t>S3  Retrofit Existing Yard</t>
        </is>
      </c>
      <c r="F4" s="4" t="inlineStr">
        <is>
          <t>Basis / Source</t>
        </is>
      </c>
    </row>
    <row r="5">
      <c r="A5" s="5" t="inlineStr">
        <is>
          <t>A.  YARD CONSTRUCTION  ($ per SF of paved yard)</t>
        </is>
      </c>
      <c r="B5" s="5" t="n"/>
      <c r="C5" s="5" t="n"/>
      <c r="D5" s="5" t="n"/>
      <c r="E5" s="5" t="n"/>
      <c r="F5" s="5" t="n"/>
      <c r="G5" s="5" t="n"/>
    </row>
    <row r="6">
      <c r="A6" s="6" t="inlineStr">
        <is>
          <t>Clearing, grubbing, erosion &amp; sediment control</t>
        </is>
      </c>
      <c r="B6" s="7" t="inlineStr">
        <is>
          <t>$ / SF</t>
        </is>
      </c>
      <c r="C6" s="44" t="n">
        <v>0.35</v>
      </c>
      <c r="D6" s="44" t="n">
        <v>0.35</v>
      </c>
      <c r="E6" s="44" t="n">
        <v>0.05</v>
      </c>
    </row>
    <row r="7">
      <c r="A7" s="6" t="inlineStr">
        <is>
          <t>Mass grading &amp; earthwork (balanced site)</t>
        </is>
      </c>
      <c r="B7" s="7" t="inlineStr">
        <is>
          <t>$ / SF</t>
        </is>
      </c>
      <c r="C7" s="44" t="n">
        <v>1.75</v>
      </c>
      <c r="D7" s="44" t="n">
        <v>1.55</v>
      </c>
      <c r="E7" s="44" t="n">
        <v>0.2</v>
      </c>
      <c r="F7" s="19" t="inlineStr">
        <is>
          <t>Assumes a cut/fill-balanced site with no rock or unsuitable-soil export. Ledge or peat is the single biggest greenfield cost shock in this part of CT.</t>
        </is>
      </c>
    </row>
    <row r="8">
      <c r="A8" s="6" t="inlineStr">
        <is>
          <t>Subgrade prep, geotextile, 12" processed aggregate base</t>
        </is>
      </c>
      <c r="B8" s="7" t="inlineStr">
        <is>
          <t>$ / SF</t>
        </is>
      </c>
      <c r="C8" s="44" t="n">
        <v>2.4</v>
      </c>
      <c r="D8" s="44" t="n">
        <v>2.05</v>
      </c>
      <c r="E8" s="44" t="n">
        <v>0.15</v>
      </c>
      <c r="F8" s="19" t="inlineStr">
        <is>
          <t>Heavy-duty truck section: 10-12"+ of aggregate base under the wearing course.</t>
        </is>
      </c>
    </row>
    <row r="9">
      <c r="A9" s="29" t="inlineStr">
        <is>
          <t>Surface course</t>
        </is>
      </c>
      <c r="B9" s="31" t="inlineStr">
        <is>
          <t>$ / SF</t>
        </is>
      </c>
      <c r="C9" s="45" t="n">
        <v>4.35</v>
      </c>
      <c r="D9" s="45" t="n">
        <v>1.95</v>
      </c>
      <c r="E9" s="45" t="n">
        <v>1.85</v>
      </c>
      <c r="F9" s="19" t="inlineStr">
        <is>
          <t>S1: 5" bituminous (3" binder + 2" wearing). S2: paved aisles (~32% of area) blended with compacted millings/crushed stone stalls. S3: mill &amp; 2" overlay + full-depth patching. CT commercial asphalt $4-11/SF; heavy-duty truck sections $7-12/SF; CT construction costs run ~1.32x national.</t>
        </is>
      </c>
    </row>
    <row r="10">
      <c r="A10" s="6" t="inlineStr">
        <is>
          <t>Storm conveyance within yard (catch basins, piping)</t>
        </is>
      </c>
      <c r="B10" s="7" t="inlineStr">
        <is>
          <t>$ / SF</t>
        </is>
      </c>
      <c r="C10" s="44" t="n">
        <v>0.48</v>
      </c>
      <c r="D10" s="44" t="n">
        <v>0.44</v>
      </c>
      <c r="E10" s="44" t="n">
        <v>0.12</v>
      </c>
    </row>
    <row r="11">
      <c r="A11" s="6" t="inlineStr">
        <is>
          <t>Striping, wheel stops, bollards</t>
        </is>
      </c>
      <c r="B11" s="7" t="inlineStr">
        <is>
          <t>$ / SF</t>
        </is>
      </c>
      <c r="C11" s="44" t="n">
        <v>0.12</v>
      </c>
      <c r="D11" s="44" t="n">
        <v>0.1</v>
      </c>
      <c r="E11" s="44" t="n">
        <v>0.12</v>
      </c>
    </row>
    <row r="12">
      <c r="A12" s="13" t="inlineStr">
        <is>
          <t>Subtotal - yard construction</t>
        </is>
      </c>
      <c r="B12" s="14" t="inlineStr">
        <is>
          <t>$ / SF</t>
        </is>
      </c>
      <c r="C12" s="46">
        <f>SUM(C6:C11)</f>
        <v/>
      </c>
      <c r="D12" s="46">
        <f>SUM(D6:D11)</f>
        <v/>
      </c>
      <c r="E12" s="46">
        <f>SUM(E6:E11)</f>
        <v/>
      </c>
    </row>
    <row r="13">
      <c r="A13" s="9" t="inlineStr">
        <is>
          <t>Yard construction - total</t>
        </is>
      </c>
      <c r="B13" s="7" t="inlineStr">
        <is>
          <t>$</t>
        </is>
      </c>
      <c r="C13" s="23">
        <f>C12*Assumptions!$C$11</f>
        <v/>
      </c>
      <c r="D13" s="23">
        <f>D12*Assumptions!$D$11</f>
        <v/>
      </c>
      <c r="E13" s="23">
        <f>E12*Assumptions!$E$11</f>
        <v/>
      </c>
    </row>
    <row r="15">
      <c r="A15" s="5" t="inlineStr">
        <is>
          <t>B.  PER-STALL DISCRETE ITEMS  ($ per stall)</t>
        </is>
      </c>
      <c r="B15" s="5" t="n"/>
      <c r="C15" s="5" t="n"/>
      <c r="D15" s="5" t="n"/>
      <c r="E15" s="5" t="n"/>
      <c r="F15" s="5" t="n"/>
      <c r="G15" s="5" t="n"/>
    </row>
    <row r="16">
      <c r="A16" s="6" t="inlineStr">
        <is>
          <t>Yard lighting - LED on 30' poles</t>
        </is>
      </c>
      <c r="B16" s="7" t="inlineStr">
        <is>
          <t>$ / stall</t>
        </is>
      </c>
      <c r="C16" s="40" t="n">
        <v>1225</v>
      </c>
      <c r="D16" s="40" t="n">
        <v>1225</v>
      </c>
      <c r="E16" s="40" t="n">
        <v>1225</v>
      </c>
      <c r="F16" s="19" t="inlineStr">
        <is>
          <t>1 pole per 8 stalls at ~$9,800 installed (pole, fixture, base, conduit, wire).</t>
        </is>
      </c>
    </row>
    <row r="17">
      <c r="A17" s="6" t="inlineStr">
        <is>
          <t>Yard electrical distribution, conduit, panels</t>
        </is>
      </c>
      <c r="B17" s="7" t="inlineStr">
        <is>
          <t>$ / stall</t>
        </is>
      </c>
      <c r="C17" s="40" t="n">
        <v>375</v>
      </c>
      <c r="D17" s="40" t="n">
        <v>340</v>
      </c>
      <c r="E17" s="40" t="n">
        <v>300</v>
      </c>
    </row>
    <row r="18">
      <c r="A18" s="6" t="inlineStr">
        <is>
          <t>Reefer / APU power pedestals (30A)</t>
        </is>
      </c>
      <c r="B18" s="7" t="inlineStr">
        <is>
          <t>$ / stall</t>
        </is>
      </c>
      <c r="C18" s="40" t="n">
        <v>620</v>
      </c>
      <c r="D18" s="40" t="n">
        <v>0</v>
      </c>
      <c r="E18" s="40" t="n">
        <v>310</v>
      </c>
      <c r="F18" s="19" t="inlineStr">
        <is>
          <t>$3,100 per pedestal on 20% of stalls (S1) / 10% (S3). Reefer plug-ins are the highest-margin ancillary line but add electrical service load.</t>
        </is>
      </c>
    </row>
    <row r="19">
      <c r="A19" s="6" t="inlineStr">
        <is>
          <t>Camera coverage &amp; analytics - incremental</t>
        </is>
      </c>
      <c r="B19" s="7" t="inlineStr">
        <is>
          <t>$ / stall</t>
        </is>
      </c>
      <c r="C19" s="40" t="n">
        <v>185</v>
      </c>
      <c r="D19" s="40" t="n">
        <v>210</v>
      </c>
      <c r="E19" s="40" t="n">
        <v>210</v>
      </c>
      <c r="F19" s="19" t="inlineStr">
        <is>
          <t>Head-end / NVR is a fixed cost; this is the marginal camera density per added row of stalls.</t>
        </is>
      </c>
    </row>
    <row r="20">
      <c r="A20" s="13" t="inlineStr">
        <is>
          <t>Subtotal - per-stall items</t>
        </is>
      </c>
      <c r="B20" s="14" t="inlineStr">
        <is>
          <t>$ / stall</t>
        </is>
      </c>
      <c r="C20" s="15">
        <f>SUM(C16:C19)</f>
        <v/>
      </c>
      <c r="D20" s="15">
        <f>SUM(D16:D19)</f>
        <v/>
      </c>
      <c r="E20" s="15">
        <f>SUM(E16:E19)</f>
        <v/>
      </c>
    </row>
    <row r="21">
      <c r="A21" s="9" t="inlineStr">
        <is>
          <t>Per-stall items - total</t>
        </is>
      </c>
      <c r="B21" s="7" t="inlineStr">
        <is>
          <t>$</t>
        </is>
      </c>
      <c r="C21" s="23">
        <f>C20*Assumptions!$C$9</f>
        <v/>
      </c>
      <c r="D21" s="23">
        <f>D20*Assumptions!$D$9</f>
        <v/>
      </c>
      <c r="E21" s="23">
        <f>E20*Assumptions!$E$9</f>
        <v/>
      </c>
    </row>
    <row r="23">
      <c r="A23" s="16" t="inlineStr">
        <is>
          <t>TOTAL VARIABLE HARD COST</t>
        </is>
      </c>
      <c r="B23" s="17" t="inlineStr">
        <is>
          <t>$</t>
        </is>
      </c>
      <c r="C23" s="18">
        <f>C13+C21</f>
        <v/>
      </c>
      <c r="D23" s="18">
        <f>D13+D21</f>
        <v/>
      </c>
      <c r="E23" s="18">
        <f>E13+E21</f>
        <v/>
      </c>
    </row>
    <row r="24">
      <c r="A24" s="47" t="inlineStr">
        <is>
          <t xml:space="preserve">   Variable hard cost per stall</t>
        </is>
      </c>
      <c r="B24" s="17" t="inlineStr">
        <is>
          <t>$ / stall</t>
        </is>
      </c>
      <c r="C24" s="18">
        <f>C23/Assumptions!$C$9</f>
        <v/>
      </c>
      <c r="D24" s="18">
        <f>D23/Assumptions!$D$9</f>
        <v/>
      </c>
      <c r="E24" s="18">
        <f>E23/Assumptions!$E$9</f>
        <v/>
      </c>
    </row>
    <row r="26">
      <c r="A26" s="48" t="inlineStr">
        <is>
          <t>Note: soft-cost loadings and contingency are allocated pro-rata between fixed and variable on the Cost_Per_Stall tab; this page is hard cost only.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5"/>
  <sheetViews>
    <sheetView showGridLines="0" workbookViewId="0">
      <pane ySplit="4" topLeftCell="A5" activePane="bottomLeft" state="frozen"/>
      <selection pane="bottomLeft" activeCell="A1" sqref="A1"/>
    </sheetView>
  </sheetViews>
  <sheetFormatPr baseColWidth="8" defaultRowHeight="15"/>
  <cols>
    <col width="46" customWidth="1" min="1" max="1"/>
    <col width="17" customWidth="1" min="2" max="2"/>
    <col width="15" customWidth="1" min="3" max="3"/>
    <col width="15" customWidth="1" min="4" max="4"/>
    <col width="15" customWidth="1" min="5" max="5"/>
    <col width="62" customWidth="1" min="6" max="6"/>
  </cols>
  <sheetData>
    <row r="1">
      <c r="A1" s="1" t="inlineStr">
        <is>
          <t>Fixed Capex  -  site-level threshold costs</t>
        </is>
      </c>
    </row>
    <row r="2">
      <c r="A2" s="2" t="inlineStr">
        <is>
          <t>These are incurred to open the gate at all. They do NOT scale with stall count, which is why density and site size drive this deal.</t>
        </is>
      </c>
    </row>
    <row r="4" ht="30" customHeight="1">
      <c r="A4" s="3" t="inlineStr">
        <is>
          <t>Cost item</t>
        </is>
      </c>
      <c r="B4" s="3" t="inlineStr">
        <is>
          <t>Unit</t>
        </is>
      </c>
      <c r="C4" s="4" t="inlineStr">
        <is>
          <t>S1  Greenfield Full Asphalt</t>
        </is>
      </c>
      <c r="D4" s="4" t="inlineStr">
        <is>
          <t>S2  Greenfield Value-Eng.</t>
        </is>
      </c>
      <c r="E4" s="4" t="inlineStr">
        <is>
          <t>S3  Retrofit Existing Yard</t>
        </is>
      </c>
      <c r="F4" s="4" t="inlineStr">
        <is>
          <t>Basis / Source</t>
        </is>
      </c>
    </row>
    <row r="5">
      <c r="A5" s="5" t="inlineStr">
        <is>
          <t>A.  LAND / ACQUISITION</t>
        </is>
      </c>
      <c r="B5" s="5" t="n"/>
      <c r="C5" s="5" t="n"/>
      <c r="D5" s="5" t="n"/>
      <c r="E5" s="5" t="n"/>
      <c r="F5" s="5" t="n"/>
      <c r="G5" s="5" t="n"/>
    </row>
    <row r="6">
      <c r="A6" s="9" t="inlineStr">
        <is>
          <t>Land / site purchase price</t>
        </is>
      </c>
      <c r="B6" s="7" t="inlineStr">
        <is>
          <t>$</t>
        </is>
      </c>
      <c r="C6" s="12">
        <f>Assumptions!$C$16</f>
        <v/>
      </c>
      <c r="D6" s="12">
        <f>Assumptions!$D$16</f>
        <v/>
      </c>
      <c r="E6" s="12">
        <f>Assumptions!$E$16</f>
        <v/>
      </c>
    </row>
    <row r="7">
      <c r="A7" s="6" t="inlineStr">
        <is>
          <t>Acquisition closing costs</t>
        </is>
      </c>
      <c r="B7" s="7" t="inlineStr">
        <is>
          <t>$</t>
        </is>
      </c>
      <c r="C7" s="49">
        <f>C6*Assumptions!$C$17</f>
        <v/>
      </c>
      <c r="D7" s="49">
        <f>D6*Assumptions!$D$17</f>
        <v/>
      </c>
      <c r="E7" s="49">
        <f>E6*Assumptions!$E$17</f>
        <v/>
      </c>
    </row>
    <row r="8">
      <c r="A8" s="13" t="inlineStr">
        <is>
          <t>Subtotal - acquisition</t>
        </is>
      </c>
      <c r="B8" s="14" t="inlineStr">
        <is>
          <t>$</t>
        </is>
      </c>
      <c r="C8" s="15">
        <f>SUM(C6:C7)</f>
        <v/>
      </c>
      <c r="D8" s="15">
        <f>SUM(D6:D7)</f>
        <v/>
      </c>
      <c r="E8" s="15">
        <f>SUM(E6:E7)</f>
        <v/>
      </c>
    </row>
    <row r="10">
      <c r="A10" s="5" t="inlineStr">
        <is>
          <t>B.  PRE-DEVELOPMENT, DESIGN &amp; ENTITLEMENT</t>
        </is>
      </c>
      <c r="B10" s="5" t="n"/>
      <c r="C10" s="5" t="n"/>
      <c r="D10" s="5" t="n"/>
      <c r="E10" s="5" t="n"/>
      <c r="F10" s="5" t="n"/>
      <c r="G10" s="5" t="n"/>
    </row>
    <row r="11">
      <c r="A11" s="6" t="inlineStr">
        <is>
          <t>ALTA / topographic survey</t>
        </is>
      </c>
      <c r="B11" s="7" t="inlineStr">
        <is>
          <t>$</t>
        </is>
      </c>
      <c r="C11" s="40" t="n">
        <v>14000</v>
      </c>
      <c r="D11" s="40" t="n">
        <v>14000</v>
      </c>
      <c r="E11" s="40" t="n">
        <v>12000</v>
      </c>
    </row>
    <row r="12">
      <c r="A12" s="6" t="inlineStr">
        <is>
          <t>Geotechnical investigation (borings, pavement design)</t>
        </is>
      </c>
      <c r="B12" s="7" t="inlineStr">
        <is>
          <t>$</t>
        </is>
      </c>
      <c r="C12" s="40" t="n">
        <v>22000</v>
      </c>
      <c r="D12" s="40" t="n">
        <v>22000</v>
      </c>
      <c r="E12" s="40" t="n">
        <v>14000</v>
      </c>
    </row>
    <row r="13">
      <c r="A13" s="6" t="inlineStr">
        <is>
          <t>Phase I ESA</t>
        </is>
      </c>
      <c r="B13" s="7" t="inlineStr">
        <is>
          <t>$</t>
        </is>
      </c>
      <c r="C13" s="40" t="n">
        <v>4000</v>
      </c>
      <c r="D13" s="40" t="n">
        <v>4000</v>
      </c>
      <c r="E13" s="40" t="n">
        <v>4500</v>
      </c>
    </row>
    <row r="14">
      <c r="A14" s="29" t="inlineStr">
        <is>
          <t>Phase II ESA / LEP remediation allowance</t>
        </is>
      </c>
      <c r="B14" s="31" t="inlineStr">
        <is>
          <t>$</t>
        </is>
      </c>
      <c r="C14" s="38" t="n">
        <v>35000</v>
      </c>
      <c r="D14" s="38" t="n">
        <v>35000</v>
      </c>
      <c r="E14" s="38" t="n">
        <v>95000</v>
      </c>
      <c r="F14" s="19" t="inlineStr">
        <is>
          <t>CT's Transfer Act has been replaced by the Release-Based Remediation program. A previously-industrial paved yard (S3) carries real recognized-environmental-condition risk - this is an allowance, not a budget.</t>
        </is>
      </c>
    </row>
    <row r="15">
      <c r="A15" s="6" t="inlineStr">
        <is>
          <t>Wetlands delineation &amp; IWWA permitting</t>
        </is>
      </c>
      <c r="B15" s="7" t="inlineStr">
        <is>
          <t>$</t>
        </is>
      </c>
      <c r="C15" s="40" t="n">
        <v>18000</v>
      </c>
      <c r="D15" s="40" t="n">
        <v>18000</v>
      </c>
      <c r="E15" s="40" t="n">
        <v>6000</v>
      </c>
      <c r="F15" s="19" t="inlineStr">
        <is>
          <t>Bloomfield Inland Wetlands &amp; Watercourses Agency. Much of the town's remaining industrial acreage carries wetland or watercourse constraints.</t>
        </is>
      </c>
    </row>
    <row r="16">
      <c r="A16" s="6" t="inlineStr">
        <is>
          <t>Traffic impact study</t>
        </is>
      </c>
      <c r="B16" s="7" t="inlineStr">
        <is>
          <t>$</t>
        </is>
      </c>
      <c r="C16" s="40" t="n">
        <v>28000</v>
      </c>
      <c r="D16" s="40" t="n">
        <v>28000</v>
      </c>
      <c r="E16" s="40" t="n">
        <v>22000</v>
      </c>
      <c r="F16" s="19" t="inlineStr">
        <is>
          <t>A 150-250 stall facility generates enough heavy-vehicle trips to trigger a full TIS and likely CT OSTA review.</t>
        </is>
      </c>
    </row>
    <row r="17">
      <c r="A17" s="6" t="inlineStr">
        <is>
          <t>Civil engineering &amp; site design</t>
        </is>
      </c>
      <c r="B17" s="7" t="inlineStr">
        <is>
          <t>$</t>
        </is>
      </c>
      <c r="C17" s="40" t="n">
        <v>195000</v>
      </c>
      <c r="D17" s="40" t="n">
        <v>175000</v>
      </c>
      <c r="E17" s="40" t="n">
        <v>85000</v>
      </c>
    </row>
    <row r="18">
      <c r="A18" s="6" t="inlineStr">
        <is>
          <t>Architectural - gatehouse / driver services</t>
        </is>
      </c>
      <c r="B18" s="7" t="inlineStr">
        <is>
          <t>$</t>
        </is>
      </c>
      <c r="C18" s="40" t="n">
        <v>18000</v>
      </c>
      <c r="D18" s="40" t="n">
        <v>12000</v>
      </c>
      <c r="E18" s="40" t="n">
        <v>12000</v>
      </c>
    </row>
    <row r="19">
      <c r="A19" s="29" t="inlineStr">
        <is>
          <t>Land-use counsel &amp; entitlement</t>
        </is>
      </c>
      <c r="B19" s="31" t="inlineStr">
        <is>
          <t>$</t>
        </is>
      </c>
      <c r="C19" s="38" t="n">
        <v>85000</v>
      </c>
      <c r="D19" s="38" t="n">
        <v>85000</v>
      </c>
      <c r="E19" s="38" t="n">
        <v>55000</v>
      </c>
      <c r="F19" s="19" t="inlineStr">
        <is>
          <t>ENTITLEMENT IS THE GATING RISK. Bloomfield TPZ has treated outdoor storage as a non-permitted principal use - approved only as an accessory use by special permit, with a ZBA variance otherwise required. A standalone commercial truck-parking yard likely needs a zoning text amendment or variance, not just site-plan approval.</t>
        </is>
      </c>
    </row>
    <row r="20">
      <c r="A20" s="6" t="inlineStr">
        <is>
          <t>Municipal application &amp; review fees</t>
        </is>
      </c>
      <c r="B20" s="7" t="inlineStr">
        <is>
          <t>$</t>
        </is>
      </c>
      <c r="C20" s="40" t="n">
        <v>18000</v>
      </c>
      <c r="D20" s="40" t="n">
        <v>18000</v>
      </c>
      <c r="E20" s="40" t="n">
        <v>12000</v>
      </c>
    </row>
    <row r="21">
      <c r="A21" s="6" t="inlineStr">
        <is>
          <t>CT DEEP stormwater GP registration + SWPPP</t>
        </is>
      </c>
      <c r="B21" s="7" t="inlineStr">
        <is>
          <t>$</t>
        </is>
      </c>
      <c r="C21" s="40" t="n">
        <v>22000</v>
      </c>
      <c r="D21" s="40" t="n">
        <v>22000</v>
      </c>
      <c r="E21" s="40" t="n">
        <v>10000</v>
      </c>
    </row>
    <row r="22">
      <c r="A22" s="6" t="inlineStr">
        <is>
          <t>Driveway / encroachment permits</t>
        </is>
      </c>
      <c r="B22" s="7" t="inlineStr">
        <is>
          <t>$</t>
        </is>
      </c>
      <c r="C22" s="40" t="n">
        <v>12000</v>
      </c>
      <c r="D22" s="40" t="n">
        <v>12000</v>
      </c>
      <c r="E22" s="40" t="n">
        <v>4000</v>
      </c>
    </row>
    <row r="23">
      <c r="A23" s="13" t="inlineStr">
        <is>
          <t>Subtotal - pre-development</t>
        </is>
      </c>
      <c r="B23" s="14" t="inlineStr">
        <is>
          <t>$</t>
        </is>
      </c>
      <c r="C23" s="15">
        <f>SUM(C11:C22)</f>
        <v/>
      </c>
      <c r="D23" s="15">
        <f>SUM(D11:D22)</f>
        <v/>
      </c>
      <c r="E23" s="15">
        <f>SUM(E11:E22)</f>
        <v/>
      </c>
    </row>
    <row r="25">
      <c r="A25" s="5" t="inlineStr">
        <is>
          <t>C.  SITE INFRASTRUCTURE  (hard cost, non-stall)</t>
        </is>
      </c>
      <c r="B25" s="5" t="n"/>
      <c r="C25" s="5" t="n"/>
      <c r="D25" s="5" t="n"/>
      <c r="E25" s="5" t="n"/>
      <c r="F25" s="5" t="n"/>
      <c r="G25" s="5" t="n"/>
    </row>
    <row r="26">
      <c r="A26" s="6" t="inlineStr">
        <is>
          <t>Demolition &amp; clearing outside the yard</t>
        </is>
      </c>
      <c r="B26" s="7" t="inlineStr">
        <is>
          <t>$</t>
        </is>
      </c>
      <c r="C26" s="40" t="n">
        <v>95000</v>
      </c>
      <c r="D26" s="40" t="n">
        <v>95000</v>
      </c>
      <c r="E26" s="40" t="n">
        <v>165000</v>
      </c>
      <c r="F26" s="19" t="inlineStr">
        <is>
          <t>S3 assumes demolition of an obsolete building on the existing yard.</t>
        </is>
      </c>
    </row>
    <row r="27">
      <c r="A27" s="29" t="inlineStr">
        <is>
          <t>Stormwater basin, water-quality units, outlet control</t>
        </is>
      </c>
      <c r="B27" s="31" t="inlineStr">
        <is>
          <t>$</t>
        </is>
      </c>
      <c r="C27" s="38" t="n">
        <v>385000</v>
      </c>
      <c r="D27" s="38" t="n">
        <v>355000</v>
      </c>
      <c r="E27" s="38" t="n">
        <v>120000</v>
      </c>
      <c r="F27" s="19" t="inlineStr">
        <is>
          <t>Truck yards are a regulated industrial stormwater activity in CT - treatment train plus spill controls, not just detention.</t>
        </is>
      </c>
    </row>
    <row r="28">
      <c r="A28" s="6" t="inlineStr">
        <is>
          <t>Site entry, apron, turn lane, sight-line work</t>
        </is>
      </c>
      <c r="B28" s="7" t="inlineStr">
        <is>
          <t>$</t>
        </is>
      </c>
      <c r="C28" s="40" t="n">
        <v>195000</v>
      </c>
      <c r="D28" s="40" t="n">
        <v>175000</v>
      </c>
      <c r="E28" s="40" t="n">
        <v>110000</v>
      </c>
    </row>
    <row r="29">
      <c r="A29" s="6" t="inlineStr">
        <is>
          <t>Perimeter fence - 8' chain link, slats, barbed arm</t>
        </is>
      </c>
      <c r="B29" s="7" t="inlineStr">
        <is>
          <t>$</t>
        </is>
      </c>
      <c r="C29" s="49">
        <f>Assumptions!$C$13*58</f>
        <v/>
      </c>
      <c r="D29" s="49">
        <f>Assumptions!$D$13*52</f>
        <v/>
      </c>
      <c r="E29" s="49">
        <f>Assumptions!$E$13*52</f>
        <v/>
      </c>
      <c r="F29" s="19" t="inlineStr">
        <is>
          <t>$52-58 per LF installed on the perimeter LF calculated on the Assumptions tab.</t>
        </is>
      </c>
    </row>
    <row r="30">
      <c r="A30" s="6" t="inlineStr">
        <is>
          <t>Automated gates, operators, LPR / RFID access control</t>
        </is>
      </c>
      <c r="B30" s="7" t="inlineStr">
        <is>
          <t>$</t>
        </is>
      </c>
      <c r="C30" s="40" t="n">
        <v>155000</v>
      </c>
      <c r="D30" s="40" t="n">
        <v>145000</v>
      </c>
      <c r="E30" s="40" t="n">
        <v>145000</v>
      </c>
    </row>
    <row r="31">
      <c r="A31" s="6" t="inlineStr">
        <is>
          <t>Security head-end - NVR, analytics, network, lighting controls</t>
        </is>
      </c>
      <c r="B31" s="7" t="inlineStr">
        <is>
          <t>$</t>
        </is>
      </c>
      <c r="C31" s="40" t="n">
        <v>145000</v>
      </c>
      <c r="D31" s="40" t="n">
        <v>175000</v>
      </c>
      <c r="E31" s="40" t="n">
        <v>165000</v>
      </c>
      <c r="F31" s="19" t="inlineStr">
        <is>
          <t>Unmanned sites (S2/S3) invest more in technology to substitute for staff.</t>
        </is>
      </c>
    </row>
    <row r="32">
      <c r="A32" s="6" t="inlineStr">
        <is>
          <t>Gatehouse / driver services building + restrooms</t>
        </is>
      </c>
      <c r="B32" s="7" t="inlineStr">
        <is>
          <t>$</t>
        </is>
      </c>
      <c r="C32" s="40" t="n">
        <v>265000</v>
      </c>
      <c r="D32" s="40" t="n">
        <v>145000</v>
      </c>
      <c r="E32" s="40" t="n">
        <v>155000</v>
      </c>
    </row>
    <row r="33">
      <c r="A33" s="6" t="inlineStr">
        <is>
          <t>Utility service - electric &amp; transformer, water, sewer/septic, fiber</t>
        </is>
      </c>
      <c r="B33" s="7" t="inlineStr">
        <is>
          <t>$</t>
        </is>
      </c>
      <c r="C33" s="40" t="n">
        <v>210000</v>
      </c>
      <c r="D33" s="40" t="n">
        <v>185000</v>
      </c>
      <c r="E33" s="40" t="n">
        <v>95000</v>
      </c>
    </row>
    <row r="34">
      <c r="A34" s="6" t="inlineStr">
        <is>
          <t>Landscaping, buffer plantings, signage, ADA auto parking</t>
        </is>
      </c>
      <c r="B34" s="7" t="inlineStr">
        <is>
          <t>$</t>
        </is>
      </c>
      <c r="C34" s="40" t="n">
        <v>135000</v>
      </c>
      <c r="D34" s="40" t="n">
        <v>105000</v>
      </c>
      <c r="E34" s="40" t="n">
        <v>65000</v>
      </c>
    </row>
    <row r="35">
      <c r="A35" s="16" t="inlineStr">
        <is>
          <t>TOTAL FIXED HARD COST</t>
        </is>
      </c>
      <c r="B35" s="17" t="inlineStr">
        <is>
          <t>$</t>
        </is>
      </c>
      <c r="C35" s="18">
        <f>SUM(C26:C34)</f>
        <v/>
      </c>
      <c r="D35" s="18">
        <f>SUM(D26:D34)</f>
        <v/>
      </c>
      <c r="E35" s="18">
        <f>SUM(E26:E34)</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9"/>
  <sheetViews>
    <sheetView showGridLines="0" workbookViewId="0">
      <pane ySplit="4" topLeftCell="A5" activePane="bottomLeft" state="frozen"/>
      <selection pane="bottomLeft" activeCell="A1" sqref="A1"/>
    </sheetView>
  </sheetViews>
  <sheetFormatPr baseColWidth="8" defaultRowHeight="15"/>
  <cols>
    <col width="46" customWidth="1" min="1" max="1"/>
    <col width="17" customWidth="1" min="2" max="2"/>
    <col width="15" customWidth="1" min="3" max="3"/>
    <col width="15" customWidth="1" min="4" max="4"/>
    <col width="15" customWidth="1" min="5" max="5"/>
    <col width="62" customWidth="1" min="6" max="6"/>
  </cols>
  <sheetData>
    <row r="1">
      <c r="A1" s="1" t="inlineStr">
        <is>
          <t>All-In Development Cost  -&gt;  Cost Per Stall</t>
        </is>
      </c>
    </row>
    <row r="2">
      <c r="A2" s="2" t="inlineStr">
        <is>
          <t>Soft-cost loadings and contingency are allocated pro-rata between fixed and variable by share of hard cost.</t>
        </is>
      </c>
    </row>
    <row r="4" ht="30" customHeight="1">
      <c r="A4" s="3" t="inlineStr"/>
      <c r="B4" s="3" t="inlineStr">
        <is>
          <t>Unit</t>
        </is>
      </c>
      <c r="C4" s="4" t="inlineStr">
        <is>
          <t>S1  Greenfield Full Asphalt</t>
        </is>
      </c>
      <c r="D4" s="4" t="inlineStr">
        <is>
          <t>S2  Greenfield Value-Eng.</t>
        </is>
      </c>
      <c r="E4" s="4" t="inlineStr">
        <is>
          <t>S3  Retrofit Existing Yard</t>
        </is>
      </c>
      <c r="F4" s="4" t="inlineStr">
        <is>
          <t>Note</t>
        </is>
      </c>
    </row>
    <row r="5">
      <c r="A5" s="5" t="inlineStr">
        <is>
          <t>A.  HARD COSTS</t>
        </is>
      </c>
      <c r="B5" s="5" t="n"/>
      <c r="C5" s="5" t="n"/>
      <c r="D5" s="5" t="n"/>
      <c r="E5" s="5" t="n"/>
      <c r="F5" s="5" t="n"/>
      <c r="G5" s="5" t="n"/>
    </row>
    <row r="6">
      <c r="A6" s="6" t="inlineStr">
        <is>
          <t>Fixed hard cost - site infrastructure</t>
        </is>
      </c>
      <c r="B6" s="7" t="inlineStr">
        <is>
          <t>$</t>
        </is>
      </c>
      <c r="C6" s="12">
        <f>Capex_Fixed!$C$35</f>
        <v/>
      </c>
      <c r="D6" s="12">
        <f>Capex_Fixed!$D$35</f>
        <v/>
      </c>
      <c r="E6" s="12">
        <f>Capex_Fixed!$E$35</f>
        <v/>
      </c>
    </row>
    <row r="7">
      <c r="A7" s="6" t="inlineStr">
        <is>
          <t>Variable hard cost - yard &amp; stalls</t>
        </is>
      </c>
      <c r="B7" s="7" t="inlineStr">
        <is>
          <t>$</t>
        </is>
      </c>
      <c r="C7" s="12">
        <f>Capex_Variable!$C$23</f>
        <v/>
      </c>
      <c r="D7" s="12">
        <f>Capex_Variable!$D$23</f>
        <v/>
      </c>
      <c r="E7" s="12">
        <f>Capex_Variable!$E$23</f>
        <v/>
      </c>
    </row>
    <row r="8">
      <c r="A8" s="13" t="inlineStr">
        <is>
          <t>Total hard cost</t>
        </is>
      </c>
      <c r="B8" s="14" t="inlineStr">
        <is>
          <t>$</t>
        </is>
      </c>
      <c r="C8" s="15">
        <f>C6+C7</f>
        <v/>
      </c>
      <c r="D8" s="15">
        <f>D6+D7</f>
        <v/>
      </c>
      <c r="E8" s="15">
        <f>E6+E7</f>
        <v/>
      </c>
    </row>
    <row r="9">
      <c r="A9" s="20" t="inlineStr">
        <is>
          <t xml:space="preserve">   Variable share of hard cost</t>
        </is>
      </c>
      <c r="B9" s="7" t="inlineStr">
        <is>
          <t>%</t>
        </is>
      </c>
      <c r="C9" s="50">
        <f>C7/C8</f>
        <v/>
      </c>
      <c r="D9" s="50">
        <f>D7/D8</f>
        <v/>
      </c>
      <c r="E9" s="50">
        <f>E7/E8</f>
        <v/>
      </c>
    </row>
    <row r="11">
      <c r="A11" s="5" t="inlineStr">
        <is>
          <t>B.  SOFT-COST LOADINGS &amp; CONTINGENCY</t>
        </is>
      </c>
      <c r="B11" s="5" t="n"/>
      <c r="C11" s="5" t="n"/>
      <c r="D11" s="5" t="n"/>
      <c r="E11" s="5" t="n"/>
      <c r="F11" s="5" t="n"/>
      <c r="G11" s="5" t="n"/>
    </row>
    <row r="12">
      <c r="A12" s="6" t="inlineStr">
        <is>
          <t>Construction management / owner's rep</t>
        </is>
      </c>
      <c r="B12" s="7" t="inlineStr">
        <is>
          <t>$</t>
        </is>
      </c>
      <c r="C12" s="49">
        <f>C8*Assumptions!$C$46</f>
        <v/>
      </c>
      <c r="D12" s="49">
        <f>D8*Assumptions!$D$46</f>
        <v/>
      </c>
      <c r="E12" s="49">
        <f>E8*Assumptions!$E$46</f>
        <v/>
      </c>
    </row>
    <row r="13">
      <c r="A13" s="6" t="inlineStr">
        <is>
          <t>Testing, inspection, materials QA</t>
        </is>
      </c>
      <c r="B13" s="7" t="inlineStr">
        <is>
          <t>$</t>
        </is>
      </c>
      <c r="C13" s="49">
        <f>C8*Assumptions!$C$47</f>
        <v/>
      </c>
      <c r="D13" s="49">
        <f>D8*Assumptions!$D$47</f>
        <v/>
      </c>
      <c r="E13" s="49">
        <f>E8*Assumptions!$E$47</f>
        <v/>
      </c>
    </row>
    <row r="14">
      <c r="A14" s="6" t="inlineStr">
        <is>
          <t>Builder's risk &amp; GL during construction</t>
        </is>
      </c>
      <c r="B14" s="7" t="inlineStr">
        <is>
          <t>$</t>
        </is>
      </c>
      <c r="C14" s="49">
        <f>C8*Assumptions!$C$48</f>
        <v/>
      </c>
      <c r="D14" s="49">
        <f>D8*Assumptions!$D$48</f>
        <v/>
      </c>
      <c r="E14" s="49">
        <f>E8*Assumptions!$E$48</f>
        <v/>
      </c>
    </row>
    <row r="15">
      <c r="A15" s="6" t="inlineStr">
        <is>
          <t>Performance / payment bonds</t>
        </is>
      </c>
      <c r="B15" s="7" t="inlineStr">
        <is>
          <t>$</t>
        </is>
      </c>
      <c r="C15" s="49">
        <f>C8*Assumptions!$C$49</f>
        <v/>
      </c>
      <c r="D15" s="49">
        <f>D8*Assumptions!$D$49</f>
        <v/>
      </c>
      <c r="E15" s="49">
        <f>E8*Assumptions!$E$49</f>
        <v/>
      </c>
    </row>
    <row r="16">
      <c r="A16" s="9" t="inlineStr">
        <is>
          <t>Subtotal - soft-cost loadings</t>
        </is>
      </c>
      <c r="B16" s="7" t="inlineStr">
        <is>
          <t>$</t>
        </is>
      </c>
      <c r="C16" s="23">
        <f>SUM(C12:C15)</f>
        <v/>
      </c>
      <c r="D16" s="23">
        <f>SUM(D12:D15)</f>
        <v/>
      </c>
      <c r="E16" s="23">
        <f>SUM(E12:E15)</f>
        <v/>
      </c>
    </row>
    <row r="17">
      <c r="A17" s="6" t="inlineStr">
        <is>
          <t>Contingency</t>
        </is>
      </c>
      <c r="B17" s="7" t="inlineStr">
        <is>
          <t>$</t>
        </is>
      </c>
      <c r="C17" s="49">
        <f>(C8+C16)*Assumptions!$C$50</f>
        <v/>
      </c>
      <c r="D17" s="49">
        <f>(D8+D16)*Assumptions!$D$50</f>
        <v/>
      </c>
      <c r="E17" s="49">
        <f>(E8+E16)*Assumptions!$E$50</f>
        <v/>
      </c>
    </row>
    <row r="18">
      <c r="A18" s="13" t="inlineStr">
        <is>
          <t>TOTAL CONSTRUCTION COST</t>
        </is>
      </c>
      <c r="B18" s="14" t="inlineStr">
        <is>
          <t>$</t>
        </is>
      </c>
      <c r="C18" s="15">
        <f>C8+C16+C17</f>
        <v/>
      </c>
      <c r="D18" s="15">
        <f>D8+D16+D17</f>
        <v/>
      </c>
      <c r="E18" s="15">
        <f>E8+E16+E17</f>
        <v/>
      </c>
    </row>
    <row r="20">
      <c r="A20" s="5" t="inlineStr">
        <is>
          <t>C.  LAND, PRE-DEVELOPMENT &amp; FINANCING  (100% fixed)</t>
        </is>
      </c>
      <c r="B20" s="5" t="n"/>
      <c r="C20" s="5" t="n"/>
      <c r="D20" s="5" t="n"/>
      <c r="E20" s="5" t="n"/>
      <c r="F20" s="5" t="n"/>
      <c r="G20" s="5" t="n"/>
    </row>
    <row r="21">
      <c r="A21" s="6" t="inlineStr">
        <is>
          <t>Land &amp; acquisition costs</t>
        </is>
      </c>
      <c r="B21" s="7" t="inlineStr">
        <is>
          <t>$</t>
        </is>
      </c>
      <c r="C21" s="12">
        <f>Capex_Fixed!$C$8</f>
        <v/>
      </c>
      <c r="D21" s="12">
        <f>Capex_Fixed!$D$8</f>
        <v/>
      </c>
      <c r="E21" s="12">
        <f>Capex_Fixed!$E$8</f>
        <v/>
      </c>
    </row>
    <row r="22">
      <c r="A22" s="6" t="inlineStr">
        <is>
          <t>Pre-development, design &amp; entitlement</t>
        </is>
      </c>
      <c r="B22" s="7" t="inlineStr">
        <is>
          <t>$</t>
        </is>
      </c>
      <c r="C22" s="12">
        <f>Capex_Fixed!$C$23</f>
        <v/>
      </c>
      <c r="D22" s="12">
        <f>Capex_Fixed!$D$23</f>
        <v/>
      </c>
      <c r="E22" s="12">
        <f>Capex_Fixed!$E$23</f>
        <v/>
      </c>
    </row>
    <row r="23">
      <c r="A23" s="20" t="inlineStr">
        <is>
          <t>Improvement cost basis (for tax assessment)</t>
        </is>
      </c>
      <c r="B23" s="7" t="inlineStr">
        <is>
          <t>$</t>
        </is>
      </c>
      <c r="C23" s="49">
        <f>C18+C22</f>
        <v/>
      </c>
      <c r="D23" s="49">
        <f>D18+D22</f>
        <v/>
      </c>
      <c r="E23" s="49">
        <f>E18+E22</f>
        <v/>
      </c>
      <c r="F23" s="19" t="inlineStr">
        <is>
          <t>Assessor's improvement basis = construction + pre-development. Land assessed separately.</t>
        </is>
      </c>
    </row>
    <row r="24">
      <c r="A24" s="9" t="inlineStr">
        <is>
          <t>Project cost before financing</t>
        </is>
      </c>
      <c r="B24" s="7" t="inlineStr">
        <is>
          <t>$</t>
        </is>
      </c>
      <c r="C24" s="23">
        <f>C18+C21+C22</f>
        <v/>
      </c>
      <c r="D24" s="23">
        <f>D18+D21+D22</f>
        <v/>
      </c>
      <c r="E24" s="23">
        <f>E18+E21+E22</f>
        <v/>
      </c>
    </row>
    <row r="25">
      <c r="A25" s="6" t="inlineStr">
        <is>
          <t>Construction loan amount</t>
        </is>
      </c>
      <c r="B25" s="7" t="inlineStr">
        <is>
          <t>$</t>
        </is>
      </c>
      <c r="C25" s="49">
        <f>C24*Assumptions!$C$52</f>
        <v/>
      </c>
      <c r="D25" s="49">
        <f>D24*Assumptions!$D$52</f>
        <v/>
      </c>
      <c r="E25" s="49">
        <f>E24*Assumptions!$E$52</f>
        <v/>
      </c>
    </row>
    <row r="26">
      <c r="A26" s="6" t="inlineStr">
        <is>
          <t>Construction loan origination fee</t>
        </is>
      </c>
      <c r="B26" s="7" t="inlineStr">
        <is>
          <t>$</t>
        </is>
      </c>
      <c r="C26" s="49">
        <f>C25*Assumptions!$C$56</f>
        <v/>
      </c>
      <c r="D26" s="49">
        <f>D25*Assumptions!$D$56</f>
        <v/>
      </c>
      <c r="E26" s="49">
        <f>E25*Assumptions!$E$56</f>
        <v/>
      </c>
    </row>
    <row r="27">
      <c r="A27" s="6" t="inlineStr">
        <is>
          <t>Construction period interest</t>
        </is>
      </c>
      <c r="B27" s="7" t="inlineStr">
        <is>
          <t>$</t>
        </is>
      </c>
      <c r="C27" s="49">
        <f>C25*Assumptions!$C$53*Assumptions!$C$55*Assumptions!$C$54/12</f>
        <v/>
      </c>
      <c r="D27" s="49">
        <f>D25*Assumptions!$D$53*Assumptions!$D$55*Assumptions!$D$54/12</f>
        <v/>
      </c>
      <c r="E27" s="49">
        <f>E25*Assumptions!$E$53*Assumptions!$E$55*Assumptions!$E$54/12</f>
        <v/>
      </c>
    </row>
    <row r="28">
      <c r="A28" s="6" t="inlineStr">
        <is>
          <t>Lender costs - appraisal, environmental, legal, title</t>
        </is>
      </c>
      <c r="B28" s="7" t="inlineStr">
        <is>
          <t>$</t>
        </is>
      </c>
      <c r="C28" s="12">
        <f>Assumptions!$C$57</f>
        <v/>
      </c>
      <c r="D28" s="12">
        <f>Assumptions!$D$57</f>
        <v/>
      </c>
      <c r="E28" s="12">
        <f>Assumptions!$E$57</f>
        <v/>
      </c>
    </row>
    <row r="29">
      <c r="A29" s="6" t="inlineStr">
        <is>
          <t>Real estate taxes during construction</t>
        </is>
      </c>
      <c r="B29" s="7" t="inlineStr">
        <is>
          <t>$</t>
        </is>
      </c>
      <c r="C29" s="49">
        <f>Capex_Fixed!$C$6*Assumptions!$C$29*Assumptions!$C$28/1000*Assumptions!$C$54/12</f>
        <v/>
      </c>
      <c r="D29" s="49">
        <f>Capex_Fixed!$D$6*Assumptions!$D$29*Assumptions!$D$28/1000*Assumptions!$D$54/12</f>
        <v/>
      </c>
      <c r="E29" s="49">
        <f>Capex_Fixed!$E$6*Assumptions!$E$29*Assumptions!$E$28/1000*Assumptions!$E$54/12</f>
        <v/>
      </c>
    </row>
    <row r="30">
      <c r="A30" s="9" t="inlineStr">
        <is>
          <t>Subtotal - financing &amp; carry</t>
        </is>
      </c>
      <c r="B30" s="7" t="inlineStr">
        <is>
          <t>$</t>
        </is>
      </c>
      <c r="C30" s="23">
        <f>SUM(C26:C29)</f>
        <v/>
      </c>
      <c r="D30" s="23">
        <f>SUM(D26:D29)</f>
        <v/>
      </c>
      <c r="E30" s="23">
        <f>SUM(E26:E29)</f>
        <v/>
      </c>
    </row>
    <row r="31">
      <c r="A31" s="13" t="inlineStr">
        <is>
          <t>Capitalized cost before lease-up reserve</t>
        </is>
      </c>
      <c r="B31" s="14" t="inlineStr">
        <is>
          <t>$</t>
        </is>
      </c>
      <c r="C31" s="15">
        <f>C24+C30</f>
        <v/>
      </c>
      <c r="D31" s="15">
        <f>D24+D30</f>
        <v/>
      </c>
      <c r="E31" s="15">
        <f>E24+E30</f>
        <v/>
      </c>
    </row>
    <row r="33">
      <c r="A33" s="5" t="inlineStr">
        <is>
          <t>D.  LEASE-UP RESERVE</t>
        </is>
      </c>
      <c r="B33" s="5" t="n"/>
      <c r="C33" s="5" t="n"/>
      <c r="D33" s="5" t="n"/>
      <c r="E33" s="5" t="n"/>
      <c r="F33" s="5" t="n"/>
      <c r="G33" s="5" t="n"/>
    </row>
    <row r="34">
      <c r="A34" s="6" t="inlineStr">
        <is>
          <t>Operating reserve during lease-up</t>
        </is>
      </c>
      <c r="B34" s="7" t="inlineStr">
        <is>
          <t>$</t>
        </is>
      </c>
      <c r="C34" s="49">
        <f>Revenue_NOI!$C$35*Assumptions!$C$64/12</f>
        <v/>
      </c>
      <c r="D34" s="49">
        <f>Revenue_NOI!$D$35*Assumptions!$D$64/12</f>
        <v/>
      </c>
      <c r="E34" s="49">
        <f>Revenue_NOI!$E$35*Assumptions!$E$64/12</f>
        <v/>
      </c>
      <c r="F34" s="19" t="inlineStr">
        <is>
          <t>Months of stabilized opex carried until the yard fills. Truck-parking assets typically need up to 36 months to reach stabilized occupancy.</t>
        </is>
      </c>
    </row>
    <row r="35">
      <c r="A35" s="6" t="inlineStr">
        <is>
          <t>Launch marketing / pre-leasing</t>
        </is>
      </c>
      <c r="B35" s="7" t="inlineStr">
        <is>
          <t>$</t>
        </is>
      </c>
      <c r="C35" s="12">
        <f>Assumptions!$C$65</f>
        <v/>
      </c>
      <c r="D35" s="12">
        <f>Assumptions!$D$65</f>
        <v/>
      </c>
      <c r="E35" s="12">
        <f>Assumptions!$E$65</f>
        <v/>
      </c>
    </row>
    <row r="36">
      <c r="A36" s="9" t="inlineStr">
        <is>
          <t>Subtotal - lease-up reserve</t>
        </is>
      </c>
      <c r="B36" s="7" t="inlineStr">
        <is>
          <t>$</t>
        </is>
      </c>
      <c r="C36" s="23">
        <f>SUM(C34:C35)</f>
        <v/>
      </c>
      <c r="D36" s="23">
        <f>SUM(D34:D35)</f>
        <v/>
      </c>
      <c r="E36" s="23">
        <f>SUM(E34:E35)</f>
        <v/>
      </c>
    </row>
    <row r="38">
      <c r="A38" s="16" t="inlineStr">
        <is>
          <t>TOTAL PROJECT COST</t>
        </is>
      </c>
      <c r="B38" s="17" t="inlineStr">
        <is>
          <t>$</t>
        </is>
      </c>
      <c r="C38" s="18">
        <f>C31+C36</f>
        <v/>
      </c>
      <c r="D38" s="18">
        <f>D31+D36</f>
        <v/>
      </c>
      <c r="E38" s="18">
        <f>E31+E36</f>
        <v/>
      </c>
    </row>
    <row r="40">
      <c r="A40" s="5" t="inlineStr">
        <is>
          <t>E.  FIXED vs. VARIABLE  -&gt;  COST PER STALL</t>
        </is>
      </c>
      <c r="B40" s="5" t="n"/>
      <c r="C40" s="5" t="n"/>
      <c r="D40" s="5" t="n"/>
      <c r="E40" s="5" t="n"/>
      <c r="F40" s="5" t="n"/>
      <c r="G40" s="5" t="n"/>
    </row>
    <row r="41">
      <c r="A41" s="9" t="inlineStr">
        <is>
          <t>VARIABLE capex (hard + allocated soft &amp; contingency)</t>
        </is>
      </c>
      <c r="B41" s="7" t="inlineStr">
        <is>
          <t>$</t>
        </is>
      </c>
      <c r="C41" s="23">
        <f>C7+(C16+C17)*C9</f>
        <v/>
      </c>
      <c r="D41" s="23">
        <f>D7+(D16+D17)*D9</f>
        <v/>
      </c>
      <c r="E41" s="23">
        <f>E7+(E16+E17)*E9</f>
        <v/>
      </c>
    </row>
    <row r="42">
      <c r="A42" s="9" t="inlineStr">
        <is>
          <t>FIXED capex (everything else)</t>
        </is>
      </c>
      <c r="B42" s="7" t="inlineStr">
        <is>
          <t>$</t>
        </is>
      </c>
      <c r="C42" s="23">
        <f>C38-C41</f>
        <v/>
      </c>
      <c r="D42" s="23">
        <f>D38-D41</f>
        <v/>
      </c>
      <c r="E42" s="23">
        <f>E38-E41</f>
        <v/>
      </c>
    </row>
    <row r="43">
      <c r="A43" s="6" t="inlineStr">
        <is>
          <t>Stalls</t>
        </is>
      </c>
      <c r="B43" s="7" t="inlineStr">
        <is>
          <t>stalls</t>
        </is>
      </c>
      <c r="C43" s="10">
        <f>Assumptions!$C$9</f>
        <v/>
      </c>
      <c r="D43" s="10">
        <f>Assumptions!$D$9</f>
        <v/>
      </c>
      <c r="E43" s="10">
        <f>Assumptions!$E$9</f>
        <v/>
      </c>
    </row>
    <row r="44">
      <c r="A44" s="16" t="inlineStr">
        <is>
          <t>Variable cost per stall</t>
        </is>
      </c>
      <c r="B44" s="17" t="inlineStr">
        <is>
          <t>$ / stall</t>
        </is>
      </c>
      <c r="C44" s="18">
        <f>C41/C43</f>
        <v/>
      </c>
      <c r="D44" s="18">
        <f>D41/D43</f>
        <v/>
      </c>
      <c r="E44" s="18">
        <f>E41/E43</f>
        <v/>
      </c>
      <c r="F44" s="19" t="inlineStr">
        <is>
          <t>The MARGINAL cost of adding one more stall to an already-entitled site. This is the number that should drive the site-layout decision.</t>
        </is>
      </c>
    </row>
    <row r="45">
      <c r="A45" s="16" t="inlineStr">
        <is>
          <t>Fixed cost per stall</t>
        </is>
      </c>
      <c r="B45" s="17" t="inlineStr">
        <is>
          <t>$ / stall</t>
        </is>
      </c>
      <c r="C45" s="18">
        <f>C42/C43</f>
        <v/>
      </c>
      <c r="D45" s="18">
        <f>D42/D43</f>
        <v/>
      </c>
      <c r="E45" s="18">
        <f>E42/E43</f>
        <v/>
      </c>
      <c r="F45" s="19" t="inlineStr">
        <is>
          <t>Site-level costs spread over the stall count. Falls as density rises - the single biggest lever on cost per stall.</t>
        </is>
      </c>
    </row>
    <row r="46">
      <c r="A46" s="16" t="inlineStr">
        <is>
          <t>ALL-IN COST PER STALL</t>
        </is>
      </c>
      <c r="B46" s="17" t="inlineStr">
        <is>
          <t>$ / stall</t>
        </is>
      </c>
      <c r="C46" s="18">
        <f>C38/C43</f>
        <v/>
      </c>
      <c r="D46" s="18">
        <f>D38/D43</f>
        <v/>
      </c>
      <c r="E46" s="18">
        <f>E38/E43</f>
        <v/>
      </c>
    </row>
    <row r="47">
      <c r="A47" s="20" t="inlineStr">
        <is>
          <t xml:space="preserve">   of which: land</t>
        </is>
      </c>
      <c r="B47" s="7" t="inlineStr">
        <is>
          <t>$ / stall</t>
        </is>
      </c>
      <c r="C47" s="49">
        <f>C21/C43</f>
        <v/>
      </c>
      <c r="D47" s="49">
        <f>D21/D43</f>
        <v/>
      </c>
      <c r="E47" s="49">
        <f>E21/E43</f>
        <v/>
      </c>
    </row>
    <row r="48">
      <c r="A48" s="20" t="inlineStr">
        <is>
          <t xml:space="preserve">   Fixed share of all-in cost</t>
        </is>
      </c>
      <c r="B48" s="7" t="inlineStr">
        <is>
          <t>%</t>
        </is>
      </c>
      <c r="C48" s="50">
        <f>C42/C38</f>
        <v/>
      </c>
      <c r="D48" s="50">
        <f>D42/D38</f>
        <v/>
      </c>
      <c r="E48" s="50">
        <f>E42/E38</f>
        <v/>
      </c>
    </row>
    <row r="49">
      <c r="A49" s="6" t="inlineStr">
        <is>
          <t>All-in cost per gross acre</t>
        </is>
      </c>
      <c r="B49" s="7" t="inlineStr">
        <is>
          <t>$ / acre</t>
        </is>
      </c>
      <c r="C49" s="49">
        <f>C38/Assumptions!$C$6</f>
        <v/>
      </c>
      <c r="D49" s="49">
        <f>D38/Assumptions!$D$6</f>
        <v/>
      </c>
      <c r="E49" s="49">
        <f>E38/Assumptions!$E$6</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7"/>
  <sheetViews>
    <sheetView showGridLines="0" workbookViewId="0">
      <pane ySplit="4" topLeftCell="A5" activePane="bottomLeft" state="frozen"/>
      <selection pane="bottomLeft" activeCell="A1" sqref="A1"/>
    </sheetView>
  </sheetViews>
  <sheetFormatPr baseColWidth="8" defaultRowHeight="15"/>
  <cols>
    <col width="46" customWidth="1" min="1" max="1"/>
    <col width="17" customWidth="1" min="2" max="2"/>
    <col width="15" customWidth="1" min="3" max="3"/>
    <col width="15" customWidth="1" min="4" max="4"/>
    <col width="15" customWidth="1" min="5" max="5"/>
    <col width="62" customWidth="1" min="6" max="6"/>
  </cols>
  <sheetData>
    <row r="1">
      <c r="A1" s="1" t="inlineStr">
        <is>
          <t>Stabilized Revenue, Operating Expenses &amp; NOI</t>
        </is>
      </c>
    </row>
    <row r="2">
      <c r="A2" s="2" t="inlineStr">
        <is>
          <t>Year-1-stabilized dollars. Reserves are deducted before NOI because lenders size debt to a reserve-burdened NOI.</t>
        </is>
      </c>
    </row>
    <row r="4" ht="30" customHeight="1">
      <c r="A4" s="3" t="inlineStr"/>
      <c r="B4" s="3" t="inlineStr">
        <is>
          <t>Unit</t>
        </is>
      </c>
      <c r="C4" s="4" t="inlineStr">
        <is>
          <t>S1  Greenfield Full Asphalt</t>
        </is>
      </c>
      <c r="D4" s="4" t="inlineStr">
        <is>
          <t>S2  Greenfield Value-Eng.</t>
        </is>
      </c>
      <c r="E4" s="4" t="inlineStr">
        <is>
          <t>S3  Retrofit Existing Yard</t>
        </is>
      </c>
      <c r="F4" s="4" t="inlineStr">
        <is>
          <t>Note</t>
        </is>
      </c>
    </row>
    <row r="5">
      <c r="A5" s="5" t="inlineStr">
        <is>
          <t>A.  REVENUE</t>
        </is>
      </c>
      <c r="B5" s="5" t="n"/>
      <c r="C5" s="5" t="n"/>
      <c r="D5" s="5" t="n"/>
      <c r="E5" s="5" t="n"/>
      <c r="F5" s="5" t="n"/>
      <c r="G5" s="5" t="n"/>
    </row>
    <row r="6">
      <c r="A6" s="6" t="inlineStr">
        <is>
          <t>Stalls - monthly reserved</t>
        </is>
      </c>
      <c r="B6" s="7" t="inlineStr">
        <is>
          <t>stalls</t>
        </is>
      </c>
      <c r="C6" s="36">
        <f>ROUND(Assumptions!$C$9*Assumptions!$C$19,0)</f>
        <v/>
      </c>
      <c r="D6" s="36">
        <f>ROUND(Assumptions!$D$9*Assumptions!$D$19,0)</f>
        <v/>
      </c>
      <c r="E6" s="36">
        <f>ROUND(Assumptions!$E$9*Assumptions!$E$19,0)</f>
        <v/>
      </c>
    </row>
    <row r="7">
      <c r="A7" s="6" t="inlineStr">
        <is>
          <t>Stalls - transient / nightly</t>
        </is>
      </c>
      <c r="B7" s="7" t="inlineStr">
        <is>
          <t>stalls</t>
        </is>
      </c>
      <c r="C7" s="36">
        <f>Assumptions!$C$9-C6</f>
        <v/>
      </c>
      <c r="D7" s="36">
        <f>Assumptions!$D$9-D6</f>
        <v/>
      </c>
      <c r="E7" s="36">
        <f>Assumptions!$E$9-E6</f>
        <v/>
      </c>
    </row>
    <row r="8">
      <c r="A8" s="6" t="inlineStr">
        <is>
          <t>Gross potential rent - monthly stalls</t>
        </is>
      </c>
      <c r="B8" s="7" t="inlineStr">
        <is>
          <t>$ / yr</t>
        </is>
      </c>
      <c r="C8" s="49">
        <f>C6*Assumptions!$C$20*12</f>
        <v/>
      </c>
      <c r="D8" s="49">
        <f>D6*Assumptions!$D$20*12</f>
        <v/>
      </c>
      <c r="E8" s="49">
        <f>E6*Assumptions!$E$20*12</f>
        <v/>
      </c>
    </row>
    <row r="9">
      <c r="A9" s="6" t="inlineStr">
        <is>
          <t>Gross potential rent - transient stalls</t>
        </is>
      </c>
      <c r="B9" s="7" t="inlineStr">
        <is>
          <t>$ / yr</t>
        </is>
      </c>
      <c r="C9" s="49">
        <f>C7*Assumptions!$C$22*365</f>
        <v/>
      </c>
      <c r="D9" s="49">
        <f>D7*Assumptions!$D$22*365</f>
        <v/>
      </c>
      <c r="E9" s="49">
        <f>E7*Assumptions!$E$22*365</f>
        <v/>
      </c>
    </row>
    <row r="10">
      <c r="A10" s="9" t="inlineStr">
        <is>
          <t>Gross potential rent</t>
        </is>
      </c>
      <c r="B10" s="7" t="inlineStr">
        <is>
          <t>$ / yr</t>
        </is>
      </c>
      <c r="C10" s="23">
        <f>C8+C9</f>
        <v/>
      </c>
      <c r="D10" s="23">
        <f>D8+D9</f>
        <v/>
      </c>
      <c r="E10" s="23">
        <f>E8+E9</f>
        <v/>
      </c>
    </row>
    <row r="11">
      <c r="A11" s="6" t="inlineStr">
        <is>
          <t>Less: vacancy / unutilized nights</t>
        </is>
      </c>
      <c r="B11" s="7" t="inlineStr">
        <is>
          <t>$ / yr</t>
        </is>
      </c>
      <c r="C11" s="49">
        <f>-(C8*(1-Assumptions!$C$21)+C9*(1-Assumptions!$C$23))</f>
        <v/>
      </c>
      <c r="D11" s="49">
        <f>-(D8*(1-Assumptions!$D$21)+D9*(1-Assumptions!$D$23))</f>
        <v/>
      </c>
      <c r="E11" s="49">
        <f>-(E8*(1-Assumptions!$E$21)+E9*(1-Assumptions!$E$23))</f>
        <v/>
      </c>
    </row>
    <row r="12">
      <c r="A12" s="6" t="inlineStr">
        <is>
          <t>Less: credit loss / bad debt</t>
        </is>
      </c>
      <c r="B12" s="7" t="inlineStr">
        <is>
          <t>$ / yr</t>
        </is>
      </c>
      <c r="C12" s="49">
        <f>-(C10+C11)*Assumptions!$C$25</f>
        <v/>
      </c>
      <c r="D12" s="49">
        <f>-(D10+D11)*Assumptions!$D$25</f>
        <v/>
      </c>
      <c r="E12" s="49">
        <f>-(E10+E11)*Assumptions!$E$25</f>
        <v/>
      </c>
    </row>
    <row r="13">
      <c r="A13" s="9" t="inlineStr">
        <is>
          <t>Net parking revenue</t>
        </is>
      </c>
      <c r="B13" s="7" t="inlineStr">
        <is>
          <t>$ / yr</t>
        </is>
      </c>
      <c r="C13" s="23">
        <f>SUM(C10:C12)</f>
        <v/>
      </c>
      <c r="D13" s="23">
        <f>SUM(D10:D12)</f>
        <v/>
      </c>
      <c r="E13" s="23">
        <f>SUM(E10:E12)</f>
        <v/>
      </c>
    </row>
    <row r="14">
      <c r="A14" s="6" t="inlineStr">
        <is>
          <t>Ancillary revenue</t>
        </is>
      </c>
      <c r="B14" s="7" t="inlineStr">
        <is>
          <t>$ / yr</t>
        </is>
      </c>
      <c r="C14" s="49">
        <f>C13*Assumptions!$C$24</f>
        <v/>
      </c>
      <c r="D14" s="49">
        <f>D13*Assumptions!$D$24</f>
        <v/>
      </c>
      <c r="E14" s="49">
        <f>E13*Assumptions!$E$24</f>
        <v/>
      </c>
    </row>
    <row r="15">
      <c r="A15" s="13" t="inlineStr">
        <is>
          <t>EFFECTIVE GROSS INCOME</t>
        </is>
      </c>
      <c r="B15" s="14" t="inlineStr">
        <is>
          <t>$ / yr</t>
        </is>
      </c>
      <c r="C15" s="15">
        <f>C13+C14</f>
        <v/>
      </c>
      <c r="D15" s="15">
        <f>D13+D14</f>
        <v/>
      </c>
      <c r="E15" s="15">
        <f>E13+E14</f>
        <v/>
      </c>
    </row>
    <row r="16">
      <c r="A16" s="51" t="inlineStr">
        <is>
          <t xml:space="preserve">   Blended revenue per stall per month</t>
        </is>
      </c>
      <c r="B16" s="14" t="inlineStr">
        <is>
          <t>$ / stall / mo</t>
        </is>
      </c>
      <c r="C16" s="52">
        <f>C15/Assumptions!$C$9/12</f>
        <v/>
      </c>
      <c r="D16" s="52">
        <f>D15/Assumptions!$D$9/12</f>
        <v/>
      </c>
      <c r="E16" s="52">
        <f>E15/Assumptions!$E$9/12</f>
        <v/>
      </c>
    </row>
    <row r="17">
      <c r="A17" s="20" t="inlineStr">
        <is>
          <t xml:space="preserve">   Revenue per gross acre</t>
        </is>
      </c>
      <c r="B17" s="7" t="inlineStr">
        <is>
          <t>$ / acre / yr</t>
        </is>
      </c>
      <c r="C17" s="49">
        <f>C15/Assumptions!$C$6</f>
        <v/>
      </c>
      <c r="D17" s="49">
        <f>D15/Assumptions!$D$6</f>
        <v/>
      </c>
      <c r="E17" s="49">
        <f>E15/Assumptions!$E$6</f>
        <v/>
      </c>
      <c r="F17" s="19" t="inlineStr">
        <is>
          <t>Cross-check: bulk NNN truck-yard leases in Hartford metro trade around $35,000-55,000 per acre per year. A per-stall retail operation must beat that to justify the operating overhead.</t>
        </is>
      </c>
    </row>
    <row r="19">
      <c r="A19" s="5" t="inlineStr">
        <is>
          <t>B.  OPERATING EXPENSES</t>
        </is>
      </c>
      <c r="B19" s="5" t="n"/>
      <c r="C19" s="5" t="n"/>
      <c r="D19" s="5" t="n"/>
      <c r="E19" s="5" t="n"/>
      <c r="F19" s="5" t="n"/>
      <c r="G19" s="5" t="n"/>
    </row>
    <row r="20">
      <c r="A20" s="29" t="inlineStr">
        <is>
          <t>Real estate taxes</t>
        </is>
      </c>
      <c r="B20" s="31" t="inlineStr">
        <is>
          <t>$ / yr</t>
        </is>
      </c>
      <c r="C20" s="53">
        <f>(Capex_Fixed!$C$6*Assumptions!$C$30+Cost_Per_Stall!$C$23*Assumptions!$C$31)*Assumptions!$C$29*Assumptions!$C$28/1000</f>
        <v/>
      </c>
      <c r="D20" s="53">
        <f>(Capex_Fixed!$D$6*Assumptions!$D$30+Cost_Per_Stall!$D$23*Assumptions!$D$31)*Assumptions!$D$29*Assumptions!$D$28/1000</f>
        <v/>
      </c>
      <c r="E20" s="53">
        <f>(Capex_Fixed!$E$6*Assumptions!$E$30+Cost_Per_Stall!$E$23*Assumptions!$E$31)*Assumptions!$E$29*Assumptions!$E$28/1000</f>
        <v/>
      </c>
      <c r="F20" s="19" t="inlineStr">
        <is>
          <t>(Land x land factor + improvements x improvement factor) x 70% assessment ratio x mill rate / 1000.</t>
        </is>
      </c>
    </row>
    <row r="21">
      <c r="A21" s="6" t="inlineStr">
        <is>
          <t>Insurance</t>
        </is>
      </c>
      <c r="B21" s="7" t="inlineStr">
        <is>
          <t>$ / yr</t>
        </is>
      </c>
      <c r="C21" s="49">
        <f>Assumptions!$C$32*Assumptions!$C$9</f>
        <v/>
      </c>
      <c r="D21" s="49">
        <f>Assumptions!$D$32*Assumptions!$D$9</f>
        <v/>
      </c>
      <c r="E21" s="49">
        <f>Assumptions!$E$32*Assumptions!$E$9</f>
        <v/>
      </c>
    </row>
    <row r="22">
      <c r="A22" s="6" t="inlineStr">
        <is>
          <t>On-site staffing</t>
        </is>
      </c>
      <c r="B22" s="7" t="inlineStr">
        <is>
          <t>$ / yr</t>
        </is>
      </c>
      <c r="C22" s="12">
        <f>Assumptions!$C$33</f>
        <v/>
      </c>
      <c r="D22" s="12">
        <f>Assumptions!$D$33</f>
        <v/>
      </c>
      <c r="E22" s="12">
        <f>Assumptions!$E$33</f>
        <v/>
      </c>
    </row>
    <row r="23">
      <c r="A23" s="6" t="inlineStr">
        <is>
          <t>Remote monitoring &amp; patrol</t>
        </is>
      </c>
      <c r="B23" s="7" t="inlineStr">
        <is>
          <t>$ / yr</t>
        </is>
      </c>
      <c r="C23" s="12">
        <f>Assumptions!$C$34</f>
        <v/>
      </c>
      <c r="D23" s="12">
        <f>Assumptions!$D$34</f>
        <v/>
      </c>
      <c r="E23" s="12">
        <f>Assumptions!$E$34</f>
        <v/>
      </c>
    </row>
    <row r="24">
      <c r="A24" s="6" t="inlineStr">
        <is>
          <t>Snow &amp; ice management</t>
        </is>
      </c>
      <c r="B24" s="7" t="inlineStr">
        <is>
          <t>$ / yr</t>
        </is>
      </c>
      <c r="C24" s="49">
        <f>Assumptions!$C$35*Assumptions!$C$12</f>
        <v/>
      </c>
      <c r="D24" s="49">
        <f>Assumptions!$D$35*Assumptions!$D$12</f>
        <v/>
      </c>
      <c r="E24" s="49">
        <f>Assumptions!$E$35*Assumptions!$E$12</f>
        <v/>
      </c>
    </row>
    <row r="25">
      <c r="A25" s="6" t="inlineStr">
        <is>
          <t>Repairs &amp; maintenance</t>
        </is>
      </c>
      <c r="B25" s="7" t="inlineStr">
        <is>
          <t>$ / yr</t>
        </is>
      </c>
      <c r="C25" s="49">
        <f>Assumptions!$C$36*Assumptions!$C$9</f>
        <v/>
      </c>
      <c r="D25" s="49">
        <f>Assumptions!$D$36*Assumptions!$D$9</f>
        <v/>
      </c>
      <c r="E25" s="49">
        <f>Assumptions!$E$36*Assumptions!$E$9</f>
        <v/>
      </c>
    </row>
    <row r="26">
      <c r="A26" s="6" t="inlineStr">
        <is>
          <t>Utilities</t>
        </is>
      </c>
      <c r="B26" s="7" t="inlineStr">
        <is>
          <t>$ / yr</t>
        </is>
      </c>
      <c r="C26" s="49">
        <f>Assumptions!$C$37*Assumptions!$C$9</f>
        <v/>
      </c>
      <c r="D26" s="49">
        <f>Assumptions!$D$37*Assumptions!$D$9</f>
        <v/>
      </c>
      <c r="E26" s="49">
        <f>Assumptions!$E$37*Assumptions!$E$9</f>
        <v/>
      </c>
    </row>
    <row r="27">
      <c r="A27" s="6" t="inlineStr">
        <is>
          <t>Trash, restrooms, janitorial</t>
        </is>
      </c>
      <c r="B27" s="7" t="inlineStr">
        <is>
          <t>$ / yr</t>
        </is>
      </c>
      <c r="C27" s="49">
        <f>Assumptions!$C$38*Assumptions!$C$9</f>
        <v/>
      </c>
      <c r="D27" s="49">
        <f>Assumptions!$D$38*Assumptions!$D$9</f>
        <v/>
      </c>
      <c r="E27" s="49">
        <f>Assumptions!$E$38*Assumptions!$E$9</f>
        <v/>
      </c>
    </row>
    <row r="28">
      <c r="A28" s="6" t="inlineStr">
        <is>
          <t>Marketing &amp; leasing</t>
        </is>
      </c>
      <c r="B28" s="7" t="inlineStr">
        <is>
          <t>$ / yr</t>
        </is>
      </c>
      <c r="C28" s="49">
        <f>Assumptions!$C$41*Assumptions!$C$9</f>
        <v/>
      </c>
      <c r="D28" s="49">
        <f>Assumptions!$D$41*Assumptions!$D$9</f>
        <v/>
      </c>
      <c r="E28" s="49">
        <f>Assumptions!$E$41*Assumptions!$E$9</f>
        <v/>
      </c>
    </row>
    <row r="29">
      <c r="A29" s="6" t="inlineStr">
        <is>
          <t>Professional fees, legal, accounting, admin</t>
        </is>
      </c>
      <c r="B29" s="7" t="inlineStr">
        <is>
          <t>$ / yr</t>
        </is>
      </c>
      <c r="C29" s="12">
        <f>Assumptions!$C$42</f>
        <v/>
      </c>
      <c r="D29" s="12">
        <f>Assumptions!$D$42</f>
        <v/>
      </c>
      <c r="E29" s="12">
        <f>Assumptions!$E$42</f>
        <v/>
      </c>
    </row>
    <row r="30">
      <c r="A30" s="6" t="inlineStr">
        <is>
          <t>Replacement reserve</t>
        </is>
      </c>
      <c r="B30" s="7" t="inlineStr">
        <is>
          <t>$ / yr</t>
        </is>
      </c>
      <c r="C30" s="49">
        <f>Assumptions!$C$43*Assumptions!$C$9</f>
        <v/>
      </c>
      <c r="D30" s="49">
        <f>Assumptions!$D$43*Assumptions!$D$9</f>
        <v/>
      </c>
      <c r="E30" s="49">
        <f>Assumptions!$E$43*Assumptions!$E$9</f>
        <v/>
      </c>
    </row>
    <row r="31">
      <c r="A31" s="13" t="inlineStr">
        <is>
          <t>Subtotal - revenue-independent opex</t>
        </is>
      </c>
      <c r="B31" s="14" t="inlineStr">
        <is>
          <t>$ / yr</t>
        </is>
      </c>
      <c r="C31" s="15">
        <f>SUM(C20:C30)</f>
        <v/>
      </c>
      <c r="D31" s="15">
        <f>SUM(D20:D30)</f>
        <v/>
      </c>
      <c r="E31" s="15">
        <f>SUM(E20:E30)</f>
        <v/>
      </c>
      <c r="F31" s="19" t="inlineStr">
        <is>
          <t>Does not move with occupancy - drives the operating leverage in this asset class.</t>
        </is>
      </c>
    </row>
    <row r="32">
      <c r="A32" s="6" t="inlineStr">
        <is>
          <t>Property management fee</t>
        </is>
      </c>
      <c r="B32" s="7" t="inlineStr">
        <is>
          <t>$ / yr</t>
        </is>
      </c>
      <c r="C32" s="49">
        <f>C15*Assumptions!$C$39</f>
        <v/>
      </c>
      <c r="D32" s="49">
        <f>D15*Assumptions!$D$39</f>
        <v/>
      </c>
      <c r="E32" s="49">
        <f>E15*Assumptions!$E$39</f>
        <v/>
      </c>
    </row>
    <row r="33">
      <c r="A33" s="6" t="inlineStr">
        <is>
          <t>Payment processing &amp; reservation platform</t>
        </is>
      </c>
      <c r="B33" s="7" t="inlineStr">
        <is>
          <t>$ / yr</t>
        </is>
      </c>
      <c r="C33" s="49">
        <f>C13*Assumptions!$C$40</f>
        <v/>
      </c>
      <c r="D33" s="49">
        <f>D13*Assumptions!$D$40</f>
        <v/>
      </c>
      <c r="E33" s="49">
        <f>E13*Assumptions!$E$40</f>
        <v/>
      </c>
    </row>
    <row r="34">
      <c r="A34" s="9" t="inlineStr">
        <is>
          <t>Subtotal - revenue-linked opex</t>
        </is>
      </c>
      <c r="B34" s="7" t="inlineStr">
        <is>
          <t>$ / yr</t>
        </is>
      </c>
      <c r="C34" s="23">
        <f>C32+C33</f>
        <v/>
      </c>
      <c r="D34" s="23">
        <f>D32+D33</f>
        <v/>
      </c>
      <c r="E34" s="23">
        <f>E32+E33</f>
        <v/>
      </c>
    </row>
    <row r="35">
      <c r="A35" s="13" t="inlineStr">
        <is>
          <t>TOTAL OPERATING EXPENSES</t>
        </is>
      </c>
      <c r="B35" s="14" t="inlineStr">
        <is>
          <t>$ / yr</t>
        </is>
      </c>
      <c r="C35" s="15">
        <f>C31+C34</f>
        <v/>
      </c>
      <c r="D35" s="15">
        <f>D31+D34</f>
        <v/>
      </c>
      <c r="E35" s="15">
        <f>E31+E34</f>
        <v/>
      </c>
    </row>
    <row r="36">
      <c r="A36" s="20" t="inlineStr">
        <is>
          <t xml:space="preserve">   Opex ratio</t>
        </is>
      </c>
      <c r="B36" s="7" t="inlineStr">
        <is>
          <t>% of EGI</t>
        </is>
      </c>
      <c r="C36" s="50">
        <f>C35/C15</f>
        <v/>
      </c>
      <c r="D36" s="50">
        <f>D35/D15</f>
        <v/>
      </c>
      <c r="E36" s="50">
        <f>E35/E15</f>
        <v/>
      </c>
    </row>
    <row r="37">
      <c r="A37" s="20" t="inlineStr">
        <is>
          <t xml:space="preserve">   Opex per stall per month</t>
        </is>
      </c>
      <c r="B37" s="7" t="inlineStr">
        <is>
          <t>$ / stall / mo</t>
        </is>
      </c>
      <c r="C37" s="49">
        <f>C35/Assumptions!$C$9/12</f>
        <v/>
      </c>
      <c r="D37" s="49">
        <f>D35/Assumptions!$D$9/12</f>
        <v/>
      </c>
      <c r="E37" s="49">
        <f>E35/Assumptions!$E$9/12</f>
        <v/>
      </c>
    </row>
    <row r="38">
      <c r="A38" s="20" t="inlineStr">
        <is>
          <t xml:space="preserve">   Revenue-linked opex as % of EGI</t>
        </is>
      </c>
      <c r="B38" s="7" t="inlineStr">
        <is>
          <t>%</t>
        </is>
      </c>
      <c r="C38" s="54">
        <f>C34/C15</f>
        <v/>
      </c>
      <c r="D38" s="54">
        <f>D34/D15</f>
        <v/>
      </c>
      <c r="E38" s="54">
        <f>E34/E15</f>
        <v/>
      </c>
    </row>
    <row r="40">
      <c r="A40" s="16" t="inlineStr">
        <is>
          <t>NET OPERATING INCOME (after reserves)</t>
        </is>
      </c>
      <c r="B40" s="17" t="inlineStr">
        <is>
          <t>$ / yr</t>
        </is>
      </c>
      <c r="C40" s="18">
        <f>C15-C35</f>
        <v/>
      </c>
      <c r="D40" s="18">
        <f>D15-D35</f>
        <v/>
      </c>
      <c r="E40" s="18">
        <f>E15-E35</f>
        <v/>
      </c>
    </row>
    <row r="41">
      <c r="A41" s="9" t="inlineStr">
        <is>
          <t>NOI before replacement reserves</t>
        </is>
      </c>
      <c r="B41" s="7" t="inlineStr">
        <is>
          <t>$ / yr</t>
        </is>
      </c>
      <c r="C41" s="23">
        <f>C40+C30</f>
        <v/>
      </c>
      <c r="D41" s="23">
        <f>D40+D30</f>
        <v/>
      </c>
      <c r="E41" s="23">
        <f>E40+E30</f>
        <v/>
      </c>
    </row>
    <row r="42">
      <c r="A42" s="20" t="inlineStr">
        <is>
          <t xml:space="preserve">   NOI per stall</t>
        </is>
      </c>
      <c r="B42" s="7" t="inlineStr">
        <is>
          <t>$ / stall / yr</t>
        </is>
      </c>
      <c r="C42" s="49">
        <f>C40/Assumptions!$C$9</f>
        <v/>
      </c>
      <c r="D42" s="49">
        <f>D40/Assumptions!$D$9</f>
        <v/>
      </c>
      <c r="E42" s="49">
        <f>E40/Assumptions!$E$9</f>
        <v/>
      </c>
    </row>
    <row r="43">
      <c r="A43" s="16" t="inlineStr">
        <is>
          <t>YIELD ON COST  (NOI / total project cost)</t>
        </is>
      </c>
      <c r="B43" s="17" t="inlineStr">
        <is>
          <t>%</t>
        </is>
      </c>
      <c r="C43" s="22">
        <f>C40/Cost_Per_Stall!$C$38</f>
        <v/>
      </c>
      <c r="D43" s="22">
        <f>D40/Cost_Per_Stall!$D$38</f>
        <v/>
      </c>
      <c r="E43" s="22">
        <f>E40/Cost_Per_Stall!$E$38</f>
        <v/>
      </c>
    </row>
    <row r="44">
      <c r="A44" s="9" t="inlineStr">
        <is>
          <t>Stabilized value at exit cap</t>
        </is>
      </c>
      <c r="B44" s="7" t="inlineStr">
        <is>
          <t>$</t>
        </is>
      </c>
      <c r="C44" s="23">
        <f>C40/Assumptions!$C$63</f>
        <v/>
      </c>
      <c r="D44" s="23">
        <f>D40/Assumptions!$D$63</f>
        <v/>
      </c>
      <c r="E44" s="23">
        <f>E40/Assumptions!$E$63</f>
        <v/>
      </c>
    </row>
    <row r="45">
      <c r="A45" s="16" t="inlineStr">
        <is>
          <t>Development profit / (loss)</t>
        </is>
      </c>
      <c r="B45" s="17" t="inlineStr">
        <is>
          <t>$</t>
        </is>
      </c>
      <c r="C45" s="18">
        <f>C44-Cost_Per_Stall!$C$38</f>
        <v/>
      </c>
      <c r="D45" s="18">
        <f>D44-Cost_Per_Stall!$D$38</f>
        <v/>
      </c>
      <c r="E45" s="18">
        <f>E44-Cost_Per_Stall!$E$38</f>
        <v/>
      </c>
    </row>
    <row r="46">
      <c r="A46" s="20" t="inlineStr">
        <is>
          <t xml:space="preserve">   Development margin</t>
        </is>
      </c>
      <c r="B46" s="7" t="inlineStr">
        <is>
          <t>% of cost</t>
        </is>
      </c>
      <c r="C46" s="50">
        <f>C45/Cost_Per_Stall!$C$38</f>
        <v/>
      </c>
      <c r="D46" s="50">
        <f>D45/Cost_Per_Stall!$D$38</f>
        <v/>
      </c>
      <c r="E46" s="50">
        <f>E45/Cost_Per_Stall!$E$38</f>
        <v/>
      </c>
    </row>
    <row r="47">
      <c r="A47" s="20" t="inlineStr">
        <is>
          <t xml:space="preserve">   Spread to exit cap (yield on cost - cap rate)</t>
        </is>
      </c>
      <c r="B47" s="7" t="inlineStr">
        <is>
          <t>bps</t>
        </is>
      </c>
      <c r="C47" s="36">
        <f>(C43-Assumptions!$C$63)*10000</f>
        <v/>
      </c>
      <c r="D47" s="36">
        <f>(D43-Assumptions!$D$63)*10000</f>
        <v/>
      </c>
      <c r="E47" s="36">
        <f>(E43-Assumptions!$E$63)*10000</f>
        <v/>
      </c>
      <c r="F47" s="19" t="inlineStr">
        <is>
          <t>Merchant-build rule of thumb: you want 150-250 bps of spread over the exit cap to justify development risk.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0"/>
  <sheetViews>
    <sheetView showGridLines="0" workbookViewId="0">
      <pane ySplit="4" topLeftCell="A5" activePane="bottomLeft" state="frozen"/>
      <selection pane="bottomLeft" activeCell="A1" sqref="A1"/>
    </sheetView>
  </sheetViews>
  <sheetFormatPr baseColWidth="8" defaultRowHeight="15"/>
  <cols>
    <col width="46" customWidth="1" min="1" max="1"/>
    <col width="17" customWidth="1" min="2" max="2"/>
    <col width="15" customWidth="1" min="3" max="3"/>
    <col width="15" customWidth="1" min="4" max="4"/>
    <col width="15" customWidth="1" min="5" max="5"/>
    <col width="62" customWidth="1" min="6" max="6"/>
  </cols>
  <sheetData>
    <row r="1">
      <c r="A1" s="1" t="inlineStr">
        <is>
          <t>Debt Sizing, DSCR &amp; Break-Evens</t>
        </is>
      </c>
    </row>
    <row r="2">
      <c r="A2" s="2" t="inlineStr">
        <is>
          <t>Permanent debt sized to the LESSER of loan-to-cost, loan-to-value and the minimum-DSCR constraint.</t>
        </is>
      </c>
    </row>
    <row r="4" ht="30" customHeight="1">
      <c r="A4" s="3" t="inlineStr"/>
      <c r="B4" s="3" t="inlineStr">
        <is>
          <t>Unit</t>
        </is>
      </c>
      <c r="C4" s="4" t="inlineStr">
        <is>
          <t>S1  Greenfield Full Asphalt</t>
        </is>
      </c>
      <c r="D4" s="4" t="inlineStr">
        <is>
          <t>S2  Greenfield Value-Eng.</t>
        </is>
      </c>
      <c r="E4" s="4" t="inlineStr">
        <is>
          <t>S3  Retrofit Existing Yard</t>
        </is>
      </c>
      <c r="F4" s="4" t="inlineStr">
        <is>
          <t>Note</t>
        </is>
      </c>
    </row>
    <row r="5">
      <c r="A5" s="5" t="inlineStr">
        <is>
          <t>A.  LOAN SIZING</t>
        </is>
      </c>
      <c r="B5" s="5" t="n"/>
      <c r="C5" s="5" t="n"/>
      <c r="D5" s="5" t="n"/>
      <c r="E5" s="5" t="n"/>
      <c r="F5" s="5" t="n"/>
      <c r="G5" s="5" t="n"/>
    </row>
    <row r="6">
      <c r="A6" s="6" t="inlineStr">
        <is>
          <t>Total project cost</t>
        </is>
      </c>
      <c r="B6" s="7" t="inlineStr">
        <is>
          <t>$</t>
        </is>
      </c>
      <c r="C6" s="12">
        <f>Cost_Per_Stall!$C$38</f>
        <v/>
      </c>
      <c r="D6" s="12">
        <f>Cost_Per_Stall!$D$38</f>
        <v/>
      </c>
      <c r="E6" s="12">
        <f>Cost_Per_Stall!$E$38</f>
        <v/>
      </c>
    </row>
    <row r="7">
      <c r="A7" s="6" t="inlineStr">
        <is>
          <t>Stabilized NOI</t>
        </is>
      </c>
      <c r="B7" s="7" t="inlineStr">
        <is>
          <t>$ / yr</t>
        </is>
      </c>
      <c r="C7" s="12">
        <f>Revenue_NOI!$C$40</f>
        <v/>
      </c>
      <c r="D7" s="12">
        <f>Revenue_NOI!$D$40</f>
        <v/>
      </c>
      <c r="E7" s="12">
        <f>Revenue_NOI!$E$40</f>
        <v/>
      </c>
    </row>
    <row r="8">
      <c r="A8" s="6" t="inlineStr">
        <is>
          <t>Stabilized value</t>
        </is>
      </c>
      <c r="B8" s="7" t="inlineStr">
        <is>
          <t>$</t>
        </is>
      </c>
      <c r="C8" s="12">
        <f>Revenue_NOI!$C$44</f>
        <v/>
      </c>
      <c r="D8" s="12">
        <f>Revenue_NOI!$D$44</f>
        <v/>
      </c>
      <c r="E8" s="12">
        <f>Revenue_NOI!$E$44</f>
        <v/>
      </c>
    </row>
    <row r="9">
      <c r="A9" s="6" t="inlineStr">
        <is>
          <t>Annual debt constant</t>
        </is>
      </c>
      <c r="B9" s="7" t="inlineStr">
        <is>
          <t>%</t>
        </is>
      </c>
      <c r="C9" s="54">
        <f>-PMT(Assumptions!$C$60/12,Assumptions!$C$61*12,1)*12</f>
        <v/>
      </c>
      <c r="D9" s="54">
        <f>-PMT(Assumptions!$D$60/12,Assumptions!$D$61*12,1)*12</f>
        <v/>
      </c>
      <c r="E9" s="54">
        <f>-PMT(Assumptions!$E$60/12,Assumptions!$E$61*12,1)*12</f>
        <v/>
      </c>
      <c r="F9" s="19" t="inlineStr">
        <is>
          <t>Mortgage constant = annualized payment on $1 of principal.</t>
        </is>
      </c>
    </row>
    <row r="10">
      <c r="A10" s="6" t="inlineStr">
        <is>
          <t>Loan by max loan-to-cost</t>
        </is>
      </c>
      <c r="B10" s="7" t="inlineStr">
        <is>
          <t>$</t>
        </is>
      </c>
      <c r="C10" s="49">
        <f>C6*Assumptions!$C$58</f>
        <v/>
      </c>
      <c r="D10" s="49">
        <f>D6*Assumptions!$D$58</f>
        <v/>
      </c>
      <c r="E10" s="49">
        <f>E6*Assumptions!$E$58</f>
        <v/>
      </c>
    </row>
    <row r="11">
      <c r="A11" s="6" t="inlineStr">
        <is>
          <t>Loan by max loan-to-value</t>
        </is>
      </c>
      <c r="B11" s="7" t="inlineStr">
        <is>
          <t>$</t>
        </is>
      </c>
      <c r="C11" s="49">
        <f>C8*Assumptions!$C$59</f>
        <v/>
      </c>
      <c r="D11" s="49">
        <f>D8*Assumptions!$D$59</f>
        <v/>
      </c>
      <c r="E11" s="49">
        <f>E8*Assumptions!$E$59</f>
        <v/>
      </c>
    </row>
    <row r="12">
      <c r="A12" s="6" t="inlineStr">
        <is>
          <t>Loan by minimum DSCR</t>
        </is>
      </c>
      <c r="B12" s="7" t="inlineStr">
        <is>
          <t>$</t>
        </is>
      </c>
      <c r="C12" s="49">
        <f>C7/(Assumptions!$C$62*C9)</f>
        <v/>
      </c>
      <c r="D12" s="49">
        <f>D7/(Assumptions!$D$62*D9)</f>
        <v/>
      </c>
      <c r="E12" s="49">
        <f>E7/(Assumptions!$E$62*E9)</f>
        <v/>
      </c>
    </row>
    <row r="13">
      <c r="A13" s="16" t="inlineStr">
        <is>
          <t>SUPPORTABLE LOAN</t>
        </is>
      </c>
      <c r="B13" s="17" t="inlineStr">
        <is>
          <t>$</t>
        </is>
      </c>
      <c r="C13" s="18">
        <f>MAX(0,MIN(C10,C11,C12))</f>
        <v/>
      </c>
      <c r="D13" s="18">
        <f>MAX(0,MIN(D10,D11,D12))</f>
        <v/>
      </c>
      <c r="E13" s="18">
        <f>MAX(0,MIN(E10,E11,E12))</f>
        <v/>
      </c>
    </row>
    <row r="14">
      <c r="A14" s="6" t="inlineStr">
        <is>
          <t>Binding constraint</t>
        </is>
      </c>
      <c r="B14" s="7" t="inlineStr"/>
      <c r="C14" s="55">
        <f>IF(C13=C12,"DSCR",IF(C13=C11,"LTV","LTC"))</f>
        <v/>
      </c>
      <c r="D14" s="55">
        <f>IF(D13=D12,"DSCR",IF(D13=D11,"LTV","LTC"))</f>
        <v/>
      </c>
      <c r="E14" s="55">
        <f>IF(E13=E12,"DSCR",IF(E13=E11,"LTV","LTC"))</f>
        <v/>
      </c>
    </row>
    <row r="15">
      <c r="A15" s="20" t="inlineStr">
        <is>
          <t xml:space="preserve">   Actual loan to cost</t>
        </is>
      </c>
      <c r="B15" s="7" t="inlineStr">
        <is>
          <t>%</t>
        </is>
      </c>
      <c r="C15" s="50">
        <f>C13/C6</f>
        <v/>
      </c>
      <c r="D15" s="50">
        <f>D13/D6</f>
        <v/>
      </c>
      <c r="E15" s="50">
        <f>E13/E6</f>
        <v/>
      </c>
    </row>
    <row r="16">
      <c r="A16" s="9" t="inlineStr">
        <is>
          <t>Required equity</t>
        </is>
      </c>
      <c r="B16" s="7" t="inlineStr">
        <is>
          <t>$</t>
        </is>
      </c>
      <c r="C16" s="23">
        <f>C6-C13</f>
        <v/>
      </c>
      <c r="D16" s="23">
        <f>D6-D13</f>
        <v/>
      </c>
      <c r="E16" s="23">
        <f>E6-E13</f>
        <v/>
      </c>
    </row>
    <row r="17">
      <c r="A17" s="20" t="inlineStr">
        <is>
          <t xml:space="preserve">   Equity per stall</t>
        </is>
      </c>
      <c r="B17" s="7" t="inlineStr">
        <is>
          <t>$ / stall</t>
        </is>
      </c>
      <c r="C17" s="49">
        <f>C16/Assumptions!$C$9</f>
        <v/>
      </c>
      <c r="D17" s="49">
        <f>D16/Assumptions!$D$9</f>
        <v/>
      </c>
      <c r="E17" s="49">
        <f>E16/Assumptions!$E$9</f>
        <v/>
      </c>
    </row>
    <row r="19">
      <c r="A19" s="5" t="inlineStr">
        <is>
          <t>B.  DEBT SERVICE COVERAGE</t>
        </is>
      </c>
      <c r="B19" s="5" t="n"/>
      <c r="C19" s="5" t="n"/>
      <c r="D19" s="5" t="n"/>
      <c r="E19" s="5" t="n"/>
      <c r="F19" s="5" t="n"/>
      <c r="G19" s="5" t="n"/>
    </row>
    <row r="20">
      <c r="A20" s="6" t="inlineStr">
        <is>
          <t>Annual debt service - at supportable loan</t>
        </is>
      </c>
      <c r="B20" s="7" t="inlineStr">
        <is>
          <t>$ / yr</t>
        </is>
      </c>
      <c r="C20" s="49">
        <f>C13*C9</f>
        <v/>
      </c>
      <c r="D20" s="49">
        <f>D13*D9</f>
        <v/>
      </c>
      <c r="E20" s="49">
        <f>E13*E9</f>
        <v/>
      </c>
    </row>
    <row r="21">
      <c r="A21" s="16" t="inlineStr">
        <is>
          <t>DSCR - at supportable loan</t>
        </is>
      </c>
      <c r="B21" s="17" t="inlineStr">
        <is>
          <t>x</t>
        </is>
      </c>
      <c r="C21" s="24">
        <f>IF(C20=0,0,C7/C20)</f>
        <v/>
      </c>
      <c r="D21" s="24">
        <f>IF(D20=0,0,D7/D20)</f>
        <v/>
      </c>
      <c r="E21" s="24">
        <f>IF(E20=0,0,E7/E20)</f>
        <v/>
      </c>
    </row>
    <row r="22">
      <c r="A22" s="6" t="inlineStr">
        <is>
          <t>Annual debt service - if funded at max LTC</t>
        </is>
      </c>
      <c r="B22" s="7" t="inlineStr">
        <is>
          <t>$ / yr</t>
        </is>
      </c>
      <c r="C22" s="49">
        <f>C10*C9</f>
        <v/>
      </c>
      <c r="D22" s="49">
        <f>D10*D9</f>
        <v/>
      </c>
      <c r="E22" s="49">
        <f>E10*E9</f>
        <v/>
      </c>
    </row>
    <row r="23">
      <c r="A23" s="16" t="inlineStr">
        <is>
          <t>DSCR - if funded at max LTC</t>
        </is>
      </c>
      <c r="B23" s="17" t="inlineStr">
        <is>
          <t>x</t>
        </is>
      </c>
      <c r="C23" s="24">
        <f>C7/C22</f>
        <v/>
      </c>
      <c r="D23" s="24">
        <f>D7/D22</f>
        <v/>
      </c>
      <c r="E23" s="24">
        <f>E7/E22</f>
        <v/>
      </c>
      <c r="F23" s="19" t="inlineStr">
        <is>
          <t>THE HEADLINE TEST. This is the coverage a lender would actually see on a request for the target leverage.</t>
        </is>
      </c>
    </row>
    <row r="24">
      <c r="A24" s="9" t="inlineStr">
        <is>
          <t>Passes minimum DSCR at target leverage?</t>
        </is>
      </c>
      <c r="B24" s="7" t="inlineStr"/>
      <c r="C24" s="25">
        <f>IF(C23&gt;=Assumptions!$C$62,"PASS","FAIL")</f>
        <v/>
      </c>
      <c r="D24" s="25">
        <f>IF(D23&gt;=Assumptions!$D$62,"PASS","FAIL")</f>
        <v/>
      </c>
      <c r="E24" s="25">
        <f>IF(E23&gt;=Assumptions!$E$62,"PASS","FAIL")</f>
        <v/>
      </c>
    </row>
    <row r="25">
      <c r="A25" s="6" t="inlineStr">
        <is>
          <t>Debt yield - at max LTC loan</t>
        </is>
      </c>
      <c r="B25" s="7" t="inlineStr">
        <is>
          <t>%</t>
        </is>
      </c>
      <c r="C25" s="50">
        <f>C7/C10</f>
        <v/>
      </c>
      <c r="D25" s="50">
        <f>D7/D10</f>
        <v/>
      </c>
      <c r="E25" s="50">
        <f>E7/E10</f>
        <v/>
      </c>
      <c r="F25" s="19" t="inlineStr">
        <is>
          <t>Lenders on non-core collateral generally want a 10%+ debt yield.</t>
        </is>
      </c>
    </row>
    <row r="26">
      <c r="A26" s="6" t="inlineStr">
        <is>
          <t>Cash flow after debt service (supportable loan)</t>
        </is>
      </c>
      <c r="B26" s="7" t="inlineStr">
        <is>
          <t>$ / yr</t>
        </is>
      </c>
      <c r="C26" s="49">
        <f>C7-C20</f>
        <v/>
      </c>
      <c r="D26" s="49">
        <f>D7-D20</f>
        <v/>
      </c>
      <c r="E26" s="49">
        <f>E7-E20</f>
        <v/>
      </c>
    </row>
    <row r="27">
      <c r="A27" s="9" t="inlineStr">
        <is>
          <t>Cash-on-cash return on equity</t>
        </is>
      </c>
      <c r="B27" s="7" t="inlineStr">
        <is>
          <t>%</t>
        </is>
      </c>
      <c r="C27" s="56">
        <f>IF(C16&lt;=0,0,C26/C16)</f>
        <v/>
      </c>
      <c r="D27" s="56">
        <f>IF(D16&lt;=0,0,D26/D16)</f>
        <v/>
      </c>
      <c r="E27" s="56">
        <f>IF(E16&lt;=0,0,E26/E16)</f>
        <v/>
      </c>
    </row>
    <row r="29">
      <c r="A29" s="5" t="inlineStr">
        <is>
          <t>C.  BREAK-EVENS  (what the deal needs in order to clear a 1.25x DSCR at target leverage)</t>
        </is>
      </c>
      <c r="B29" s="5" t="n"/>
      <c r="C29" s="5" t="n"/>
      <c r="D29" s="5" t="n"/>
      <c r="E29" s="5" t="n"/>
      <c r="F29" s="5" t="n"/>
      <c r="G29" s="5" t="n"/>
    </row>
    <row r="30">
      <c r="A30" s="6" t="inlineStr">
        <is>
          <t>NOI required for minimum DSCR at max LTC</t>
        </is>
      </c>
      <c r="B30" s="7" t="inlineStr">
        <is>
          <t>$ / yr</t>
        </is>
      </c>
      <c r="C30" s="49">
        <f>C22*Assumptions!$C$62</f>
        <v/>
      </c>
      <c r="D30" s="49">
        <f>D22*Assumptions!$D$62</f>
        <v/>
      </c>
      <c r="E30" s="49">
        <f>E22*Assumptions!$E$62</f>
        <v/>
      </c>
    </row>
    <row r="31">
      <c r="A31" s="16" t="inlineStr">
        <is>
          <t>NOI surplus / (shortfall)</t>
        </is>
      </c>
      <c r="B31" s="17" t="inlineStr">
        <is>
          <t>$ / yr</t>
        </is>
      </c>
      <c r="C31" s="18">
        <f>C7-C30</f>
        <v/>
      </c>
      <c r="D31" s="18">
        <f>D7-D30</f>
        <v/>
      </c>
      <c r="E31" s="18">
        <f>E7-E30</f>
        <v/>
      </c>
    </row>
    <row r="32">
      <c r="A32" s="6" t="inlineStr">
        <is>
          <t>EGI required</t>
        </is>
      </c>
      <c r="B32" s="7" t="inlineStr">
        <is>
          <t>$ / yr</t>
        </is>
      </c>
      <c r="C32" s="49">
        <f>(C30+Revenue_NOI!$C$31)/(1-Revenue_NOI!$C$38)</f>
        <v/>
      </c>
      <c r="D32" s="49">
        <f>(D30+Revenue_NOI!$D$31)/(1-Revenue_NOI!$D$38)</f>
        <v/>
      </c>
      <c r="E32" s="49">
        <f>(E30+Revenue_NOI!$E$31)/(1-Revenue_NOI!$E$38)</f>
        <v/>
      </c>
    </row>
    <row r="33">
      <c r="A33" s="16" t="inlineStr">
        <is>
          <t>Required blended revenue per stall per month</t>
        </is>
      </c>
      <c r="B33" s="17" t="inlineStr">
        <is>
          <t>$ / stall / mo</t>
        </is>
      </c>
      <c r="C33" s="18">
        <f>C32/Assumptions!$C$9/12</f>
        <v/>
      </c>
      <c r="D33" s="18">
        <f>D32/Assumptions!$D$9/12</f>
        <v/>
      </c>
      <c r="E33" s="18">
        <f>E32/Assumptions!$E$9/12</f>
        <v/>
      </c>
    </row>
    <row r="34">
      <c r="A34" s="20" t="inlineStr">
        <is>
          <t xml:space="preserve">   vs. modeled blended revenue per stall per month</t>
        </is>
      </c>
      <c r="B34" s="7" t="inlineStr">
        <is>
          <t>$ / stall / mo</t>
        </is>
      </c>
      <c r="C34" s="12">
        <f>Revenue_NOI!$C$16</f>
        <v/>
      </c>
      <c r="D34" s="12">
        <f>Revenue_NOI!$D$16</f>
        <v/>
      </c>
      <c r="E34" s="12">
        <f>Revenue_NOI!$E$16</f>
        <v/>
      </c>
    </row>
    <row r="35">
      <c r="A35" s="26" t="inlineStr">
        <is>
          <t xml:space="preserve">   Rate gap</t>
        </is>
      </c>
      <c r="B35" s="7" t="inlineStr">
        <is>
          <t>%</t>
        </is>
      </c>
      <c r="C35" s="56">
        <f>C33/C34-1</f>
        <v/>
      </c>
      <c r="D35" s="56">
        <f>D33/D34-1</f>
        <v/>
      </c>
      <c r="E35" s="56">
        <f>E33/E34-1</f>
        <v/>
      </c>
    </row>
    <row r="36">
      <c r="A36" s="6" t="inlineStr">
        <is>
          <t>Maximum supportable project cost</t>
        </is>
      </c>
      <c r="B36" s="7" t="inlineStr">
        <is>
          <t>$</t>
        </is>
      </c>
      <c r="C36" s="49">
        <f>C7/(Assumptions!$C$62*Assumptions!$C$58*C9)</f>
        <v/>
      </c>
      <c r="D36" s="49">
        <f>D7/(Assumptions!$D$62*Assumptions!$D$58*D9)</f>
        <v/>
      </c>
      <c r="E36" s="49">
        <f>E7/(Assumptions!$E$62*Assumptions!$E$58*E9)</f>
        <v/>
      </c>
      <c r="F36" s="19" t="inlineStr">
        <is>
          <t>Approximate - holds NOI constant, so it ignores the small property-tax feedback from a lower cost basis.</t>
        </is>
      </c>
    </row>
    <row r="37">
      <c r="A37" s="16" t="inlineStr">
        <is>
          <t>Maximum supportable cost per stall</t>
        </is>
      </c>
      <c r="B37" s="17" t="inlineStr">
        <is>
          <t>$ / stall</t>
        </is>
      </c>
      <c r="C37" s="18">
        <f>C36/Assumptions!$C$9</f>
        <v/>
      </c>
      <c r="D37" s="18">
        <f>D36/Assumptions!$D$9</f>
        <v/>
      </c>
      <c r="E37" s="18">
        <f>E36/Assumptions!$E$9</f>
        <v/>
      </c>
    </row>
    <row r="38">
      <c r="A38" s="20" t="inlineStr">
        <is>
          <t xml:space="preserve">   vs. modeled all-in cost per stall</t>
        </is>
      </c>
      <c r="B38" s="7" t="inlineStr">
        <is>
          <t>$ / stall</t>
        </is>
      </c>
      <c r="C38" s="12">
        <f>Cost_Per_Stall!$C$46</f>
        <v/>
      </c>
      <c r="D38" s="12">
        <f>Cost_Per_Stall!$D$46</f>
        <v/>
      </c>
      <c r="E38" s="12">
        <f>Cost_Per_Stall!$E$46</f>
        <v/>
      </c>
    </row>
    <row r="39">
      <c r="A39" s="16" t="inlineStr">
        <is>
          <t>Maximum supportable land price</t>
        </is>
      </c>
      <c r="B39" s="17" t="inlineStr">
        <is>
          <t>$ / acre</t>
        </is>
      </c>
      <c r="C39" s="18">
        <f>(C36-(C6-Cost_Per_Stall!$C$21))/(Assumptions!$C$6*(1+Assumptions!$C$17))</f>
        <v/>
      </c>
      <c r="D39" s="18">
        <f>(D36-(D6-Cost_Per_Stall!$D$21))/(Assumptions!$D$6*(1+Assumptions!$D$17))</f>
        <v/>
      </c>
      <c r="E39" s="18">
        <f>(E36-(E6-Cost_Per_Stall!$E$21))/(Assumptions!$E$6*(1+Assumptions!$E$17))</f>
        <v/>
      </c>
      <c r="F39" s="19" t="inlineStr">
        <is>
          <t>Residual land value at a 1.25x DSCR. Compare to the $175k/acre (raw) and $385k/acre (improved) inputs.</t>
        </is>
      </c>
    </row>
    <row r="40">
      <c r="A40" s="9" t="inlineStr">
        <is>
          <t>Break-even occupancy (1.00x DSCR, max LTC loan)</t>
        </is>
      </c>
      <c r="B40" s="7" t="inlineStr">
        <is>
          <t>% of stabilized</t>
        </is>
      </c>
      <c r="C40" s="56">
        <f>(C22+Revenue_NOI!$C$31)/(1-Revenue_NOI!$C$38)/Revenue_NOI!$C$15</f>
        <v/>
      </c>
      <c r="D40" s="56">
        <f>(D22+Revenue_NOI!$D$31)/(1-Revenue_NOI!$D$38)/Revenue_NOI!$D$15</f>
        <v/>
      </c>
      <c r="E40" s="56">
        <f>(E22+Revenue_NOI!$E$31)/(1-Revenue_NOI!$E$38)/Revenue_NOI!$E$15</f>
        <v/>
      </c>
      <c r="F40" s="19" t="inlineStr">
        <is>
          <t>Share of stabilized EGI needed just to cover opex and debt service.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2" customWidth="1" min="1" max="1"/>
    <col width="13"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s>
  <sheetData>
    <row r="1">
      <c r="A1" s="1" t="inlineStr">
        <is>
          <t>10-Year Operating Pro Forma  -  selected scenario</t>
        </is>
      </c>
    </row>
    <row r="2">
      <c r="A2" s="2" t="inlineStr">
        <is>
          <t>Change the scenario selector in cell C3 (1 = S1, 2 = S2, 3 = S3). Everything below repoints automatically.</t>
        </is>
      </c>
    </row>
    <row r="3">
      <c r="A3" s="9" t="inlineStr">
        <is>
          <t>SCENARIO SELECTOR  -&gt;</t>
        </is>
      </c>
      <c r="C3" s="57" t="n">
        <v>2</v>
      </c>
      <c r="D3" s="58">
        <f>CHOOSE($C$3,"S1  Greenfield, full-depth asphalt, staffed","S2  Greenfield, value-engineered, unmanned","S3  Retrofit of an existing paved yard")</f>
        <v/>
      </c>
    </row>
    <row r="5">
      <c r="A5" s="5" t="inlineStr">
        <is>
          <t>SELECTED SCENARIO INPUTS</t>
        </is>
      </c>
      <c r="B5" s="5" t="n"/>
      <c r="C5" s="5" t="n"/>
      <c r="D5" s="5" t="n"/>
      <c r="E5" s="5" t="n"/>
      <c r="F5" s="5" t="n"/>
      <c r="G5" s="5" t="n"/>
      <c r="H5" s="5" t="n"/>
      <c r="I5" s="5" t="n"/>
      <c r="J5" s="5" t="n"/>
      <c r="K5" s="5" t="n"/>
      <c r="L5" s="5" t="n"/>
      <c r="M5" s="5" t="n"/>
    </row>
    <row r="6">
      <c r="A6" s="6" t="inlineStr">
        <is>
          <t>Stalls</t>
        </is>
      </c>
      <c r="B6" s="7" t="inlineStr">
        <is>
          <t>stalls</t>
        </is>
      </c>
      <c r="C6" s="36">
        <f>INDEX(Assumptions!$C$9:$E$9,$C$3)</f>
        <v/>
      </c>
    </row>
    <row r="7">
      <c r="A7" s="6" t="inlineStr">
        <is>
          <t>Stabilized EGI</t>
        </is>
      </c>
      <c r="B7" s="7" t="inlineStr">
        <is>
          <t>$ / yr</t>
        </is>
      </c>
      <c r="C7" s="49">
        <f>INDEX(Revenue_NOI!$C$15:$E$15,$C$3)</f>
        <v/>
      </c>
    </row>
    <row r="8">
      <c r="A8" s="6" t="inlineStr">
        <is>
          <t>Revenue-independent opex</t>
        </is>
      </c>
      <c r="B8" s="7" t="inlineStr">
        <is>
          <t>$ / yr</t>
        </is>
      </c>
      <c r="C8" s="49">
        <f>INDEX(Revenue_NOI!$C$31:$E$31,$C$3)</f>
        <v/>
      </c>
    </row>
    <row r="9">
      <c r="A9" s="6" t="inlineStr">
        <is>
          <t>Revenue-linked opex</t>
        </is>
      </c>
      <c r="B9" s="7" t="inlineStr">
        <is>
          <t>% of EGI</t>
        </is>
      </c>
      <c r="C9" s="54">
        <f>INDEX(Revenue_NOI!$C$38:$E$38,$C$3)</f>
        <v/>
      </c>
    </row>
    <row r="10">
      <c r="A10" s="6" t="inlineStr">
        <is>
          <t>Revenue growth</t>
        </is>
      </c>
      <c r="B10" s="7" t="inlineStr">
        <is>
          <t>% p.a.</t>
        </is>
      </c>
      <c r="C10" s="50">
        <f>INDEX(Assumptions!$C$26:$E$26,$C$3)</f>
        <v/>
      </c>
    </row>
    <row r="11">
      <c r="A11" s="6" t="inlineStr">
        <is>
          <t>Opex growth</t>
        </is>
      </c>
      <c r="B11" s="7" t="inlineStr">
        <is>
          <t>% p.a.</t>
        </is>
      </c>
      <c r="C11" s="50">
        <f>INDEX(Assumptions!$C$44:$E$44,$C$3)</f>
        <v/>
      </c>
    </row>
    <row r="12">
      <c r="A12" s="6" t="inlineStr">
        <is>
          <t>Total project cost</t>
        </is>
      </c>
      <c r="B12" s="7" t="inlineStr">
        <is>
          <t>$</t>
        </is>
      </c>
      <c r="C12" s="49">
        <f>INDEX(Cost_Per_Stall!$C$38:$E$38,$C$3)</f>
        <v/>
      </c>
    </row>
    <row r="13">
      <c r="A13" s="6" t="inlineStr">
        <is>
          <t>Permanent loan (at max LTC)</t>
        </is>
      </c>
      <c r="B13" s="7" t="inlineStr">
        <is>
          <t>$</t>
        </is>
      </c>
      <c r="C13" s="49">
        <f>INDEX(Debt_DSCR!$C$10:$E$10,$C$3)</f>
        <v/>
      </c>
    </row>
    <row r="14">
      <c r="A14" s="6" t="inlineStr">
        <is>
          <t>Annual debt constant</t>
        </is>
      </c>
      <c r="B14" s="7" t="inlineStr">
        <is>
          <t>%</t>
        </is>
      </c>
      <c r="C14" s="54">
        <f>INDEX(Debt_DSCR!$C$9:$E$9,$C$3)</f>
        <v/>
      </c>
    </row>
    <row r="15">
      <c r="A15" s="6" t="inlineStr">
        <is>
          <t>Annual debt service</t>
        </is>
      </c>
      <c r="B15" s="7" t="inlineStr">
        <is>
          <t>$ / yr</t>
        </is>
      </c>
      <c r="C15" s="49">
        <f>$C$13*$C$14</f>
        <v/>
      </c>
    </row>
    <row r="16">
      <c r="A16" s="6" t="inlineStr">
        <is>
          <t>Exit cap rate</t>
        </is>
      </c>
      <c r="B16" s="7" t="inlineStr">
        <is>
          <t>%</t>
        </is>
      </c>
      <c r="C16" s="50">
        <f>INDEX(Assumptions!$C$63:$E$63,$C$3)</f>
        <v/>
      </c>
    </row>
    <row r="17">
      <c r="A17" s="6" t="inlineStr">
        <is>
          <t>Equity at close</t>
        </is>
      </c>
      <c r="B17" s="7" t="inlineStr">
        <is>
          <t>$</t>
        </is>
      </c>
      <c r="C17" s="49">
        <f>$C$12-$C$13</f>
        <v/>
      </c>
    </row>
    <row r="18">
      <c r="A18" s="6" t="inlineStr">
        <is>
          <t>Cost of sale</t>
        </is>
      </c>
      <c r="B18" s="7" t="inlineStr">
        <is>
          <t>% of value</t>
        </is>
      </c>
      <c r="C18" s="39" t="n">
        <v>0.02</v>
      </c>
    </row>
    <row r="20">
      <c r="A20" s="5" t="inlineStr">
        <is>
          <t>LEASE-UP RAMP  (occupancy as a % of stabilized)</t>
        </is>
      </c>
      <c r="B20" s="5" t="n"/>
      <c r="C20" s="5" t="n"/>
      <c r="D20" s="5" t="n"/>
      <c r="E20" s="5" t="n"/>
      <c r="F20" s="5" t="n"/>
      <c r="G20" s="5" t="n"/>
      <c r="H20" s="5" t="n"/>
      <c r="I20" s="5" t="n"/>
      <c r="J20" s="5" t="n"/>
      <c r="K20" s="5" t="n"/>
      <c r="L20" s="5" t="n"/>
      <c r="M20" s="5" t="n"/>
    </row>
    <row r="21">
      <c r="A21" s="6" t="inlineStr">
        <is>
          <t>Occupancy ramp - Years 1 / 2 / 3+</t>
        </is>
      </c>
      <c r="B21" s="7" t="inlineStr">
        <is>
          <t>% of stabilized</t>
        </is>
      </c>
      <c r="C21" s="32" t="n">
        <v>0.45</v>
      </c>
      <c r="D21" s="32" t="n">
        <v>0.78</v>
      </c>
      <c r="E21" s="32" t="n">
        <v>1</v>
      </c>
      <c r="F21" s="48" t="inlineStr">
        <is>
          <t>Industry guidance: 70% occupancy is a typical stabilization target, reached within ~36 months. Tech-enabled operators report 92-98% once mature.</t>
        </is>
      </c>
    </row>
    <row r="23">
      <c r="A23" s="5" t="inlineStr">
        <is>
          <t>OPERATING PRO FORMA</t>
        </is>
      </c>
      <c r="B23" s="5" t="n"/>
      <c r="C23" s="5" t="n"/>
      <c r="D23" s="5" t="n"/>
      <c r="E23" s="5" t="n"/>
      <c r="F23" s="5" t="n"/>
      <c r="G23" s="5" t="n"/>
      <c r="H23" s="5" t="n"/>
      <c r="I23" s="5" t="n"/>
      <c r="J23" s="5" t="n"/>
      <c r="K23" s="5" t="n"/>
      <c r="L23" s="5" t="n"/>
      <c r="M23" s="5" t="n"/>
    </row>
    <row r="24">
      <c r="A24" s="59" t="inlineStr">
        <is>
          <t>Year</t>
        </is>
      </c>
      <c r="B24" s="60" t="inlineStr"/>
      <c r="C24" s="61" t="inlineStr">
        <is>
          <t>1</t>
        </is>
      </c>
      <c r="D24" s="61" t="inlineStr">
        <is>
          <t>2</t>
        </is>
      </c>
      <c r="E24" s="61" t="inlineStr">
        <is>
          <t>3</t>
        </is>
      </c>
      <c r="F24" s="61" t="inlineStr">
        <is>
          <t>4</t>
        </is>
      </c>
      <c r="G24" s="61" t="inlineStr">
        <is>
          <t>5</t>
        </is>
      </c>
      <c r="H24" s="61" t="inlineStr">
        <is>
          <t>6</t>
        </is>
      </c>
      <c r="I24" s="61" t="inlineStr">
        <is>
          <t>7</t>
        </is>
      </c>
      <c r="J24" s="61" t="inlineStr">
        <is>
          <t>8</t>
        </is>
      </c>
      <c r="K24" s="61" t="inlineStr">
        <is>
          <t>9</t>
        </is>
      </c>
      <c r="L24" s="61" t="inlineStr">
        <is>
          <t>10</t>
        </is>
      </c>
    </row>
    <row r="25">
      <c r="A25" s="6" t="inlineStr">
        <is>
          <t>Occupancy - % of stabilized</t>
        </is>
      </c>
      <c r="C25" s="50">
        <f>$C$21</f>
        <v/>
      </c>
      <c r="D25" s="50">
        <f>$D$21</f>
        <v/>
      </c>
      <c r="E25" s="50">
        <f>$E$21</f>
        <v/>
      </c>
      <c r="F25" s="50">
        <f>$E$21</f>
        <v/>
      </c>
      <c r="G25" s="50">
        <f>$E$21</f>
        <v/>
      </c>
      <c r="H25" s="50">
        <f>$E$21</f>
        <v/>
      </c>
      <c r="I25" s="50">
        <f>$E$21</f>
        <v/>
      </c>
      <c r="J25" s="50">
        <f>$E$21</f>
        <v/>
      </c>
      <c r="K25" s="50">
        <f>$E$21</f>
        <v/>
      </c>
      <c r="L25" s="50">
        <f>$E$21</f>
        <v/>
      </c>
    </row>
    <row r="26">
      <c r="A26" s="6" t="inlineStr">
        <is>
          <t>Effective gross income</t>
        </is>
      </c>
      <c r="C26" s="49">
        <f>$C$7*C25*(1+$C$10)^0</f>
        <v/>
      </c>
      <c r="D26" s="49">
        <f>$C$7*D25*(1+$C$10)^1</f>
        <v/>
      </c>
      <c r="E26" s="49">
        <f>$C$7*E25*(1+$C$10)^2</f>
        <v/>
      </c>
      <c r="F26" s="49">
        <f>$C$7*F25*(1+$C$10)^3</f>
        <v/>
      </c>
      <c r="G26" s="49">
        <f>$C$7*G25*(1+$C$10)^4</f>
        <v/>
      </c>
      <c r="H26" s="49">
        <f>$C$7*H25*(1+$C$10)^5</f>
        <v/>
      </c>
      <c r="I26" s="49">
        <f>$C$7*I25*(1+$C$10)^6</f>
        <v/>
      </c>
      <c r="J26" s="49">
        <f>$C$7*J25*(1+$C$10)^7</f>
        <v/>
      </c>
      <c r="K26" s="49">
        <f>$C$7*K25*(1+$C$10)^8</f>
        <v/>
      </c>
      <c r="L26" s="49">
        <f>$C$7*L25*(1+$C$10)^9</f>
        <v/>
      </c>
    </row>
    <row r="27">
      <c r="A27" s="6" t="inlineStr">
        <is>
          <t>Revenue-independent opex</t>
        </is>
      </c>
      <c r="C27" s="49">
        <f>-$C$8*(1+$C$11)^0</f>
        <v/>
      </c>
      <c r="D27" s="49">
        <f>-$C$8*(1+$C$11)^1</f>
        <v/>
      </c>
      <c r="E27" s="49">
        <f>-$C$8*(1+$C$11)^2</f>
        <v/>
      </c>
      <c r="F27" s="49">
        <f>-$C$8*(1+$C$11)^3</f>
        <v/>
      </c>
      <c r="G27" s="49">
        <f>-$C$8*(1+$C$11)^4</f>
        <v/>
      </c>
      <c r="H27" s="49">
        <f>-$C$8*(1+$C$11)^5</f>
        <v/>
      </c>
      <c r="I27" s="49">
        <f>-$C$8*(1+$C$11)^6</f>
        <v/>
      </c>
      <c r="J27" s="49">
        <f>-$C$8*(1+$C$11)^7</f>
        <v/>
      </c>
      <c r="K27" s="49">
        <f>-$C$8*(1+$C$11)^8</f>
        <v/>
      </c>
      <c r="L27" s="49">
        <f>-$C$8*(1+$C$11)^9</f>
        <v/>
      </c>
    </row>
    <row r="28">
      <c r="A28" s="6" t="inlineStr">
        <is>
          <t>Revenue-linked opex</t>
        </is>
      </c>
      <c r="C28" s="49">
        <f>-C26*$C$9</f>
        <v/>
      </c>
      <c r="D28" s="49">
        <f>-D26*$C$9</f>
        <v/>
      </c>
      <c r="E28" s="49">
        <f>-E26*$C$9</f>
        <v/>
      </c>
      <c r="F28" s="49">
        <f>-F26*$C$9</f>
        <v/>
      </c>
      <c r="G28" s="49">
        <f>-G26*$C$9</f>
        <v/>
      </c>
      <c r="H28" s="49">
        <f>-H26*$C$9</f>
        <v/>
      </c>
      <c r="I28" s="49">
        <f>-I26*$C$9</f>
        <v/>
      </c>
      <c r="J28" s="49">
        <f>-J26*$C$9</f>
        <v/>
      </c>
      <c r="K28" s="49">
        <f>-K26*$C$9</f>
        <v/>
      </c>
      <c r="L28" s="49">
        <f>-L26*$C$9</f>
        <v/>
      </c>
    </row>
    <row r="29">
      <c r="A29" s="6" t="inlineStr">
        <is>
          <t>Total operating expenses</t>
        </is>
      </c>
      <c r="C29" s="49">
        <f>SUM(C27:C28)</f>
        <v/>
      </c>
      <c r="D29" s="49">
        <f>SUM(D27:D28)</f>
        <v/>
      </c>
      <c r="E29" s="49">
        <f>SUM(E27:E28)</f>
        <v/>
      </c>
      <c r="F29" s="49">
        <f>SUM(F27:F28)</f>
        <v/>
      </c>
      <c r="G29" s="49">
        <f>SUM(G27:G28)</f>
        <v/>
      </c>
      <c r="H29" s="49">
        <f>SUM(H27:H28)</f>
        <v/>
      </c>
      <c r="I29" s="49">
        <f>SUM(I27:I28)</f>
        <v/>
      </c>
      <c r="J29" s="49">
        <f>SUM(J27:J28)</f>
        <v/>
      </c>
      <c r="K29" s="49">
        <f>SUM(K27:K28)</f>
        <v/>
      </c>
      <c r="L29" s="49">
        <f>SUM(L27:L28)</f>
        <v/>
      </c>
    </row>
    <row r="30">
      <c r="A30" s="9" t="inlineStr">
        <is>
          <t>NET OPERATING INCOME</t>
        </is>
      </c>
      <c r="C30" s="62">
        <f>C26+C29</f>
        <v/>
      </c>
      <c r="D30" s="62">
        <f>D26+D29</f>
        <v/>
      </c>
      <c r="E30" s="62">
        <f>E26+E29</f>
        <v/>
      </c>
      <c r="F30" s="62">
        <f>F26+F29</f>
        <v/>
      </c>
      <c r="G30" s="62">
        <f>G26+G29</f>
        <v/>
      </c>
      <c r="H30" s="62">
        <f>H26+H29</f>
        <v/>
      </c>
      <c r="I30" s="62">
        <f>I26+I29</f>
        <v/>
      </c>
      <c r="J30" s="62">
        <f>J26+J29</f>
        <v/>
      </c>
      <c r="K30" s="62">
        <f>K26+K29</f>
        <v/>
      </c>
      <c r="L30" s="62">
        <f>L26+L29</f>
        <v/>
      </c>
    </row>
    <row r="31">
      <c r="A31" s="6" t="inlineStr">
        <is>
          <t>Debt service</t>
        </is>
      </c>
      <c r="C31" s="49">
        <f>-$C$15</f>
        <v/>
      </c>
      <c r="D31" s="49">
        <f>-$C$15</f>
        <v/>
      </c>
      <c r="E31" s="49">
        <f>-$C$15</f>
        <v/>
      </c>
      <c r="F31" s="49">
        <f>-$C$15</f>
        <v/>
      </c>
      <c r="G31" s="49">
        <f>-$C$15</f>
        <v/>
      </c>
      <c r="H31" s="49">
        <f>-$C$15</f>
        <v/>
      </c>
      <c r="I31" s="49">
        <f>-$C$15</f>
        <v/>
      </c>
      <c r="J31" s="49">
        <f>-$C$15</f>
        <v/>
      </c>
      <c r="K31" s="49">
        <f>-$C$15</f>
        <v/>
      </c>
      <c r="L31" s="49">
        <f>-$C$15</f>
        <v/>
      </c>
    </row>
    <row r="32">
      <c r="A32" s="6" t="inlineStr">
        <is>
          <t>Cash flow after debt service</t>
        </is>
      </c>
      <c r="C32" s="49">
        <f>C30+C31</f>
        <v/>
      </c>
      <c r="D32" s="49">
        <f>D30+D31</f>
        <v/>
      </c>
      <c r="E32" s="49">
        <f>E30+E31</f>
        <v/>
      </c>
      <c r="F32" s="49">
        <f>F30+F31</f>
        <v/>
      </c>
      <c r="G32" s="49">
        <f>G30+G31</f>
        <v/>
      </c>
      <c r="H32" s="49">
        <f>H30+H31</f>
        <v/>
      </c>
      <c r="I32" s="49">
        <f>I30+I31</f>
        <v/>
      </c>
      <c r="J32" s="49">
        <f>J30+J31</f>
        <v/>
      </c>
      <c r="K32" s="49">
        <f>K30+K31</f>
        <v/>
      </c>
      <c r="L32" s="49">
        <f>L30+L31</f>
        <v/>
      </c>
    </row>
    <row r="33">
      <c r="A33" s="9" t="inlineStr">
        <is>
          <t>DSCR</t>
        </is>
      </c>
      <c r="C33" s="24">
        <f>IF($C$15=0,0,C30/$C$15)</f>
        <v/>
      </c>
      <c r="D33" s="24">
        <f>IF($C$15=0,0,D30/$C$15)</f>
        <v/>
      </c>
      <c r="E33" s="24">
        <f>IF($C$15=0,0,E30/$C$15)</f>
        <v/>
      </c>
      <c r="F33" s="24">
        <f>IF($C$15=0,0,F30/$C$15)</f>
        <v/>
      </c>
      <c r="G33" s="24">
        <f>IF($C$15=0,0,G30/$C$15)</f>
        <v/>
      </c>
      <c r="H33" s="24">
        <f>IF($C$15=0,0,H30/$C$15)</f>
        <v/>
      </c>
      <c r="I33" s="24">
        <f>IF($C$15=0,0,I30/$C$15)</f>
        <v/>
      </c>
      <c r="J33" s="24">
        <f>IF($C$15=0,0,J30/$C$15)</f>
        <v/>
      </c>
      <c r="K33" s="24">
        <f>IF($C$15=0,0,K30/$C$15)</f>
        <v/>
      </c>
      <c r="L33" s="24">
        <f>IF($C$15=0,0,L30/$C$15)</f>
        <v/>
      </c>
    </row>
    <row r="34">
      <c r="A34" s="6" t="inlineStr">
        <is>
          <t>Debt yield</t>
        </is>
      </c>
      <c r="C34" s="50">
        <f>IF($C$13=0,0,C30/$C$13)</f>
        <v/>
      </c>
      <c r="D34" s="50">
        <f>IF($C$13=0,0,D30/$C$13)</f>
        <v/>
      </c>
      <c r="E34" s="50">
        <f>IF($C$13=0,0,E30/$C$13)</f>
        <v/>
      </c>
      <c r="F34" s="50">
        <f>IF($C$13=0,0,F30/$C$13)</f>
        <v/>
      </c>
      <c r="G34" s="50">
        <f>IF($C$13=0,0,G30/$C$13)</f>
        <v/>
      </c>
      <c r="H34" s="50">
        <f>IF($C$13=0,0,H30/$C$13)</f>
        <v/>
      </c>
      <c r="I34" s="50">
        <f>IF($C$13=0,0,I30/$C$13)</f>
        <v/>
      </c>
      <c r="J34" s="50">
        <f>IF($C$13=0,0,J30/$C$13)</f>
        <v/>
      </c>
      <c r="K34" s="50">
        <f>IF($C$13=0,0,K30/$C$13)</f>
        <v/>
      </c>
      <c r="L34" s="50">
        <f>IF($C$13=0,0,L30/$C$13)</f>
        <v/>
      </c>
    </row>
    <row r="35">
      <c r="A35" s="6" t="inlineStr">
        <is>
          <t>Yield on cost</t>
        </is>
      </c>
      <c r="C35" s="54">
        <f>C30/$C$12</f>
        <v/>
      </c>
      <c r="D35" s="54">
        <f>D30/$C$12</f>
        <v/>
      </c>
      <c r="E35" s="54">
        <f>E30/$C$12</f>
        <v/>
      </c>
      <c r="F35" s="54">
        <f>F30/$C$12</f>
        <v/>
      </c>
      <c r="G35" s="54">
        <f>G30/$C$12</f>
        <v/>
      </c>
      <c r="H35" s="54">
        <f>H30/$C$12</f>
        <v/>
      </c>
      <c r="I35" s="54">
        <f>I30/$C$12</f>
        <v/>
      </c>
      <c r="J35" s="54">
        <f>J30/$C$12</f>
        <v/>
      </c>
      <c r="K35" s="54">
        <f>K30/$C$12</f>
        <v/>
      </c>
      <c r="L35" s="54">
        <f>L30/$C$12</f>
        <v/>
      </c>
    </row>
    <row r="37">
      <c r="A37" s="9" t="inlineStr">
        <is>
          <t>Reversion - Year 10 (value at exit cap, net of sale costs)</t>
        </is>
      </c>
      <c r="L37" s="18">
        <f>L30*(1+$C$10)/$C$16*(1-$C$18)</f>
        <v/>
      </c>
    </row>
    <row r="38">
      <c r="A38" s="6" t="inlineStr">
        <is>
          <t>Less: loan balance at Year 10</t>
        </is>
      </c>
      <c r="L38" s="49">
        <f>-$C$13*(1-(1+INDEX(Assumptions!$C$60:$E$60,$C$3)/12)^-(INDEX(Assumptions!$C$61:$E$61,$C$3)*12-120))/(1-(1+INDEX(Assumptions!$C$60:$E$60,$C$3)/12)^-(INDEX(Assumptions!$C$61:$E$61,$C$3)*12))</f>
        <v/>
      </c>
    </row>
    <row r="39">
      <c r="A39" s="9" t="inlineStr">
        <is>
          <t>Net sale proceeds to equity</t>
        </is>
      </c>
      <c r="L39" s="18">
        <f>L37+L38</f>
        <v/>
      </c>
    </row>
    <row r="41">
      <c r="A41" s="9" t="inlineStr">
        <is>
          <t>Equity cash flow</t>
        </is>
      </c>
      <c r="B41" s="18">
        <f>-$C$17</f>
        <v/>
      </c>
      <c r="C41" s="18">
        <f>C32</f>
        <v/>
      </c>
      <c r="D41" s="18">
        <f>D32</f>
        <v/>
      </c>
      <c r="E41" s="18">
        <f>E32</f>
        <v/>
      </c>
      <c r="F41" s="18">
        <f>F32</f>
        <v/>
      </c>
      <c r="G41" s="18">
        <f>G32</f>
        <v/>
      </c>
      <c r="H41" s="18">
        <f>H32</f>
        <v/>
      </c>
      <c r="I41" s="18">
        <f>I32</f>
        <v/>
      </c>
      <c r="J41" s="18">
        <f>J32</f>
        <v/>
      </c>
      <c r="K41" s="18">
        <f>K32</f>
        <v/>
      </c>
      <c r="L41" s="18">
        <f>L32+L39</f>
        <v/>
      </c>
    </row>
    <row r="42">
      <c r="A42" s="9" t="inlineStr">
        <is>
          <t>Levered equity IRR (10-yr hold)</t>
        </is>
      </c>
      <c r="C42" s="63">
        <f>IFERROR(IRR(B41:L41),"n/m")</f>
        <v/>
      </c>
    </row>
    <row r="43">
      <c r="A43" s="9" t="inlineStr">
        <is>
          <t>Equity multiple</t>
        </is>
      </c>
      <c r="C43" s="64">
        <f>IFERROR(SUM(C41:L41)/$C$17+1,"n/m")</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8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0" customWidth="1" min="1" max="1"/>
    <col width="14"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1" t="inlineStr">
        <is>
          <t>Sensitivity Analysis  -  where the deal breaks and what fixes it</t>
        </is>
      </c>
    </row>
    <row r="2">
      <c r="A2" s="2" t="inlineStr">
        <is>
          <t>Grids are exact re-solves of the same math, not approximations, except where noted. Selector in C3.</t>
        </is>
      </c>
    </row>
    <row r="3">
      <c r="A3" s="9" t="inlineStr">
        <is>
          <t>SCENARIO SELECTOR  -&gt;</t>
        </is>
      </c>
      <c r="C3" s="57" t="n">
        <v>2</v>
      </c>
      <c r="D3" s="58">
        <f>CHOOSE($C$3,"S1  Greenfield, full-depth asphalt, staffed","S2  Greenfield, value-engineered, unmanned","S3  Retrofit of an existing paved yard")</f>
        <v/>
      </c>
    </row>
    <row r="5">
      <c r="A5" s="5" t="inlineStr">
        <is>
          <t>SELECTED SCENARIO DRIVERS</t>
        </is>
      </c>
      <c r="B5" s="5" t="n"/>
      <c r="C5" s="5" t="n"/>
      <c r="D5" s="5" t="n"/>
      <c r="E5" s="5" t="n"/>
      <c r="F5" s="5" t="n"/>
      <c r="G5" s="5" t="n"/>
      <c r="H5" s="5" t="n"/>
      <c r="I5" s="5" t="n"/>
      <c r="J5" s="5" t="n"/>
      <c r="K5" s="5" t="n"/>
    </row>
    <row r="6">
      <c r="A6" s="6" t="inlineStr">
        <is>
          <t>Stalls</t>
        </is>
      </c>
      <c r="C6" s="10">
        <f>INDEX(Assumptions!$C$9:$E$9,$C$3)</f>
        <v/>
      </c>
    </row>
    <row r="7">
      <c r="A7" s="6" t="inlineStr">
        <is>
          <t>Revenue-independent opex ($/yr)</t>
        </is>
      </c>
      <c r="C7" s="12">
        <f>INDEX(Revenue_NOI!$C$31:$E$31,$C$3)</f>
        <v/>
      </c>
    </row>
    <row r="8">
      <c r="A8" s="6" t="inlineStr">
        <is>
          <t xml:space="preserve">   of which real estate taxes</t>
        </is>
      </c>
      <c r="C8" s="12">
        <f>INDEX(Revenue_NOI!$C$20:$E$20,$C$3)</f>
        <v/>
      </c>
    </row>
    <row r="9">
      <c r="A9" s="6" t="inlineStr">
        <is>
          <t>Revenue-linked opex (% of EGI)</t>
        </is>
      </c>
      <c r="C9" s="65">
        <f>INDEX(Revenue_NOI!$C$38:$E$38,$C$3)</f>
        <v/>
      </c>
    </row>
    <row r="10">
      <c r="A10" s="6" t="inlineStr">
        <is>
          <t>Annual debt constant</t>
        </is>
      </c>
      <c r="C10" s="65">
        <f>INDEX(Debt_DSCR!$C$9:$E$9,$C$3)</f>
        <v/>
      </c>
    </row>
    <row r="11">
      <c r="A11" s="6" t="inlineStr">
        <is>
          <t>Target loan to cost</t>
        </is>
      </c>
      <c r="C11" s="21">
        <f>INDEX(Assumptions!$C$58:$E$58,$C$3)</f>
        <v/>
      </c>
    </row>
    <row r="12">
      <c r="A12" s="6" t="inlineStr">
        <is>
          <t>Minimum DSCR</t>
        </is>
      </c>
      <c r="C12" s="66">
        <f>INDEX(Assumptions!$C$62:$E$62,$C$3)</f>
        <v/>
      </c>
    </row>
    <row r="13">
      <c r="A13" s="6" t="inlineStr">
        <is>
          <t>Exit cap rate</t>
        </is>
      </c>
      <c r="C13" s="21">
        <f>INDEX(Assumptions!$C$63:$E$63,$C$3)</f>
        <v/>
      </c>
    </row>
    <row r="14">
      <c r="A14" s="6" t="inlineStr">
        <is>
          <t>Gross acres</t>
        </is>
      </c>
      <c r="C14" s="8">
        <f>INDEX(Assumptions!$C$6:$E$6,$C$3)</f>
        <v/>
      </c>
    </row>
    <row r="15">
      <c r="A15" s="6" t="inlineStr">
        <is>
          <t>Acquisition closing costs (%)</t>
        </is>
      </c>
      <c r="C15" s="21">
        <f>INDEX(Assumptions!$C$17:$E$17,$C$3)</f>
        <v/>
      </c>
    </row>
    <row r="16">
      <c r="A16" s="6" t="inlineStr">
        <is>
          <t>Paved SF per stall</t>
        </is>
      </c>
      <c r="C16" s="10">
        <f>INDEX(Assumptions!$C$8:$E$8,$C$3)</f>
        <v/>
      </c>
    </row>
    <row r="17">
      <c r="A17" s="6" t="inlineStr">
        <is>
          <t>Per-stall discrete items ($/stall)</t>
        </is>
      </c>
      <c r="C17" s="12">
        <f>INDEX(Capex_Variable!$C$20:$E$20,$C$3)</f>
        <v/>
      </c>
    </row>
    <row r="18">
      <c r="A18" s="6" t="inlineStr">
        <is>
          <t>Variable hard cost ($)</t>
        </is>
      </c>
      <c r="C18" s="12">
        <f>INDEX(Cost_Per_Stall!$C$7:$E$7,$C$3)</f>
        <v/>
      </c>
    </row>
    <row r="19">
      <c r="A19" s="6" t="inlineStr">
        <is>
          <t>Variable all-in cost ($)</t>
        </is>
      </c>
      <c r="C19" s="12">
        <f>INDEX(Cost_Per_Stall!$C$41:$E$41,$C$3)</f>
        <v/>
      </c>
    </row>
    <row r="20">
      <c r="A20" s="6" t="inlineStr">
        <is>
          <t>Fixed all-in cost ($)</t>
        </is>
      </c>
      <c r="C20" s="12">
        <f>INDEX(Cost_Per_Stall!$C$42:$E$42,$C$3)</f>
        <v/>
      </c>
    </row>
    <row r="21">
      <c r="A21" s="6" t="inlineStr">
        <is>
          <t>Land + closing ($)</t>
        </is>
      </c>
      <c r="C21" s="12">
        <f>INDEX(Cost_Per_Stall!$C$21:$E$21,$C$3)</f>
        <v/>
      </c>
    </row>
    <row r="22">
      <c r="A22" s="6" t="inlineStr">
        <is>
          <t>Land price ($)</t>
        </is>
      </c>
      <c r="C22" s="12">
        <f>INDEX(Capex_Fixed!$C$6:$E$6,$C$3)</f>
        <v/>
      </c>
    </row>
    <row r="23">
      <c r="A23" s="6" t="inlineStr">
        <is>
          <t>Improvement basis for assessment ($)</t>
        </is>
      </c>
      <c r="C23" s="12">
        <f>INDEX(Cost_Per_Stall!$C$23:$E$23,$C$3)</f>
        <v/>
      </c>
    </row>
    <row r="24">
      <c r="A24" s="6" t="inlineStr">
        <is>
          <t>CT assessment ratio</t>
        </is>
      </c>
      <c r="C24" s="21">
        <f>INDEX(Assumptions!$C$29:$E$29,$C$3)</f>
        <v/>
      </c>
    </row>
    <row r="25">
      <c r="A25" s="6" t="inlineStr">
        <is>
          <t>Mill rate</t>
        </is>
      </c>
      <c r="C25" s="8">
        <f>INDEX(Assumptions!$C$28:$E$28,$C$3)</f>
        <v/>
      </c>
    </row>
    <row r="26">
      <c r="A26" s="6" t="inlineStr">
        <is>
          <t>Assessor factor - land</t>
        </is>
      </c>
      <c r="C26" s="21">
        <f>INDEX(Assumptions!$C$30:$E$30,$C$3)</f>
        <v/>
      </c>
    </row>
    <row r="27">
      <c r="A27" s="6" t="inlineStr">
        <is>
          <t>All-in cost per stall ($)</t>
        </is>
      </c>
      <c r="C27" s="12">
        <f>INDEX(Cost_Per_Stall!$C$46:$E$46,$C$3)</f>
        <v/>
      </c>
    </row>
    <row r="28">
      <c r="A28" s="6" t="inlineStr">
        <is>
          <t>Blended revenue per stall / month ($)</t>
        </is>
      </c>
      <c r="C28" s="12">
        <f>INDEX(Revenue_NOI!$C$16:$E$16,$C$3)</f>
        <v/>
      </c>
    </row>
    <row r="29">
      <c r="A29" s="6" t="inlineStr">
        <is>
          <t>Soft-cost + contingency markup on variable hard</t>
        </is>
      </c>
      <c r="C29" s="67">
        <f>$C$19/$C$18</f>
        <v/>
      </c>
    </row>
    <row r="30">
      <c r="A30" s="6" t="inlineStr">
        <is>
          <t>Fixed all-in cost excluding land</t>
        </is>
      </c>
      <c r="C30" s="49">
        <f>$C$20-$C$21</f>
        <v/>
      </c>
    </row>
    <row r="31">
      <c r="A31" s="6" t="inlineStr">
        <is>
          <t>Revenue-independent opex excluding taxes</t>
        </is>
      </c>
      <c r="C31" s="49">
        <f>$C$7-$C$8</f>
        <v/>
      </c>
    </row>
    <row r="34">
      <c r="A34" s="5" t="inlineStr">
        <is>
          <t>GRID 1  |  DSCR at target leverage</t>
        </is>
      </c>
      <c r="B34" s="5" t="n"/>
      <c r="C34" s="5" t="n"/>
      <c r="D34" s="5" t="n"/>
      <c r="E34" s="5" t="n"/>
      <c r="F34" s="5" t="n"/>
      <c r="G34" s="5" t="n"/>
      <c r="H34" s="5" t="n"/>
      <c r="I34" s="5" t="n"/>
      <c r="J34" s="5" t="n"/>
      <c r="K34" s="5" t="n"/>
    </row>
    <row r="35" ht="26" customHeight="1">
      <c r="A35" s="19" t="inlineStr">
        <is>
          <t>DSCR = NOI / debt service, where the loan is the target loan-to-cost applied to the cost-per-stall in the column header. Shaded band below 1.25x is a decline.</t>
        </is>
      </c>
      <c r="C35" s="68" t="inlineStr">
        <is>
          <t>All-in cost per stall  -&gt;</t>
        </is>
      </c>
    </row>
    <row r="36" ht="30" customHeight="1">
      <c r="B36" s="4" t="inlineStr">
        <is>
          <t>Blended revenue $ / stall / month</t>
        </is>
      </c>
      <c r="C36" s="69" t="n">
        <v>18000</v>
      </c>
      <c r="D36" s="69" t="n">
        <v>22000</v>
      </c>
      <c r="E36" s="69" t="n">
        <v>26000</v>
      </c>
      <c r="F36" s="69" t="n">
        <v>30000</v>
      </c>
      <c r="G36" s="69" t="n">
        <v>34000</v>
      </c>
      <c r="H36" s="69" t="n">
        <v>38000</v>
      </c>
      <c r="I36" s="69" t="n">
        <v>42000</v>
      </c>
    </row>
    <row r="37">
      <c r="B37" s="15" t="n">
        <v>250</v>
      </c>
      <c r="C37" s="70">
        <f>($B37*12*$C$6*(1-$C$9)-$C$7)/($C$11*C$36*$C$6*$C$10)</f>
        <v/>
      </c>
      <c r="D37" s="70">
        <f>($B37*12*$C$6*(1-$C$9)-$C$7)/($C$11*D$36*$C$6*$C$10)</f>
        <v/>
      </c>
      <c r="E37" s="70">
        <f>($B37*12*$C$6*(1-$C$9)-$C$7)/($C$11*E$36*$C$6*$C$10)</f>
        <v/>
      </c>
      <c r="F37" s="70">
        <f>($B37*12*$C$6*(1-$C$9)-$C$7)/($C$11*F$36*$C$6*$C$10)</f>
        <v/>
      </c>
      <c r="G37" s="70">
        <f>($B37*12*$C$6*(1-$C$9)-$C$7)/($C$11*G$36*$C$6*$C$10)</f>
        <v/>
      </c>
      <c r="H37" s="70">
        <f>($B37*12*$C$6*(1-$C$9)-$C$7)/($C$11*H$36*$C$6*$C$10)</f>
        <v/>
      </c>
      <c r="I37" s="70">
        <f>($B37*12*$C$6*(1-$C$9)-$C$7)/($C$11*I$36*$C$6*$C$10)</f>
        <v/>
      </c>
    </row>
    <row r="38">
      <c r="B38" s="15" t="n">
        <v>275</v>
      </c>
      <c r="C38" s="70">
        <f>($B38*12*$C$6*(1-$C$9)-$C$7)/($C$11*C$36*$C$6*$C$10)</f>
        <v/>
      </c>
      <c r="D38" s="70">
        <f>($B38*12*$C$6*(1-$C$9)-$C$7)/($C$11*D$36*$C$6*$C$10)</f>
        <v/>
      </c>
      <c r="E38" s="70">
        <f>($B38*12*$C$6*(1-$C$9)-$C$7)/($C$11*E$36*$C$6*$C$10)</f>
        <v/>
      </c>
      <c r="F38" s="70">
        <f>($B38*12*$C$6*(1-$C$9)-$C$7)/($C$11*F$36*$C$6*$C$10)</f>
        <v/>
      </c>
      <c r="G38" s="70">
        <f>($B38*12*$C$6*(1-$C$9)-$C$7)/($C$11*G$36*$C$6*$C$10)</f>
        <v/>
      </c>
      <c r="H38" s="70">
        <f>($B38*12*$C$6*(1-$C$9)-$C$7)/($C$11*H$36*$C$6*$C$10)</f>
        <v/>
      </c>
      <c r="I38" s="70">
        <f>($B38*12*$C$6*(1-$C$9)-$C$7)/($C$11*I$36*$C$6*$C$10)</f>
        <v/>
      </c>
    </row>
    <row r="39">
      <c r="B39" s="15" t="n">
        <v>300</v>
      </c>
      <c r="C39" s="70">
        <f>($B39*12*$C$6*(1-$C$9)-$C$7)/($C$11*C$36*$C$6*$C$10)</f>
        <v/>
      </c>
      <c r="D39" s="70">
        <f>($B39*12*$C$6*(1-$C$9)-$C$7)/($C$11*D$36*$C$6*$C$10)</f>
        <v/>
      </c>
      <c r="E39" s="70">
        <f>($B39*12*$C$6*(1-$C$9)-$C$7)/($C$11*E$36*$C$6*$C$10)</f>
        <v/>
      </c>
      <c r="F39" s="70">
        <f>($B39*12*$C$6*(1-$C$9)-$C$7)/($C$11*F$36*$C$6*$C$10)</f>
        <v/>
      </c>
      <c r="G39" s="70">
        <f>($B39*12*$C$6*(1-$C$9)-$C$7)/($C$11*G$36*$C$6*$C$10)</f>
        <v/>
      </c>
      <c r="H39" s="70">
        <f>($B39*12*$C$6*(1-$C$9)-$C$7)/($C$11*H$36*$C$6*$C$10)</f>
        <v/>
      </c>
      <c r="I39" s="70">
        <f>($B39*12*$C$6*(1-$C$9)-$C$7)/($C$11*I$36*$C$6*$C$10)</f>
        <v/>
      </c>
    </row>
    <row r="40">
      <c r="B40" s="15" t="n">
        <v>325</v>
      </c>
      <c r="C40" s="70">
        <f>($B40*12*$C$6*(1-$C$9)-$C$7)/($C$11*C$36*$C$6*$C$10)</f>
        <v/>
      </c>
      <c r="D40" s="70">
        <f>($B40*12*$C$6*(1-$C$9)-$C$7)/($C$11*D$36*$C$6*$C$10)</f>
        <v/>
      </c>
      <c r="E40" s="70">
        <f>($B40*12*$C$6*(1-$C$9)-$C$7)/($C$11*E$36*$C$6*$C$10)</f>
        <v/>
      </c>
      <c r="F40" s="70">
        <f>($B40*12*$C$6*(1-$C$9)-$C$7)/($C$11*F$36*$C$6*$C$10)</f>
        <v/>
      </c>
      <c r="G40" s="70">
        <f>($B40*12*$C$6*(1-$C$9)-$C$7)/($C$11*G$36*$C$6*$C$10)</f>
        <v/>
      </c>
      <c r="H40" s="70">
        <f>($B40*12*$C$6*(1-$C$9)-$C$7)/($C$11*H$36*$C$6*$C$10)</f>
        <v/>
      </c>
      <c r="I40" s="70">
        <f>($B40*12*$C$6*(1-$C$9)-$C$7)/($C$11*I$36*$C$6*$C$10)</f>
        <v/>
      </c>
    </row>
    <row r="41">
      <c r="B41" s="15" t="n">
        <v>350</v>
      </c>
      <c r="C41" s="70">
        <f>($B41*12*$C$6*(1-$C$9)-$C$7)/($C$11*C$36*$C$6*$C$10)</f>
        <v/>
      </c>
      <c r="D41" s="70">
        <f>($B41*12*$C$6*(1-$C$9)-$C$7)/($C$11*D$36*$C$6*$C$10)</f>
        <v/>
      </c>
      <c r="E41" s="70">
        <f>($B41*12*$C$6*(1-$C$9)-$C$7)/($C$11*E$36*$C$6*$C$10)</f>
        <v/>
      </c>
      <c r="F41" s="70">
        <f>($B41*12*$C$6*(1-$C$9)-$C$7)/($C$11*F$36*$C$6*$C$10)</f>
        <v/>
      </c>
      <c r="G41" s="70">
        <f>($B41*12*$C$6*(1-$C$9)-$C$7)/($C$11*G$36*$C$6*$C$10)</f>
        <v/>
      </c>
      <c r="H41" s="70">
        <f>($B41*12*$C$6*(1-$C$9)-$C$7)/($C$11*H$36*$C$6*$C$10)</f>
        <v/>
      </c>
      <c r="I41" s="70">
        <f>($B41*12*$C$6*(1-$C$9)-$C$7)/($C$11*I$36*$C$6*$C$10)</f>
        <v/>
      </c>
    </row>
    <row r="42">
      <c r="B42" s="15" t="n">
        <v>375</v>
      </c>
      <c r="C42" s="70">
        <f>($B42*12*$C$6*(1-$C$9)-$C$7)/($C$11*C$36*$C$6*$C$10)</f>
        <v/>
      </c>
      <c r="D42" s="70">
        <f>($B42*12*$C$6*(1-$C$9)-$C$7)/($C$11*D$36*$C$6*$C$10)</f>
        <v/>
      </c>
      <c r="E42" s="70">
        <f>($B42*12*$C$6*(1-$C$9)-$C$7)/($C$11*E$36*$C$6*$C$10)</f>
        <v/>
      </c>
      <c r="F42" s="70">
        <f>($B42*12*$C$6*(1-$C$9)-$C$7)/($C$11*F$36*$C$6*$C$10)</f>
        <v/>
      </c>
      <c r="G42" s="70">
        <f>($B42*12*$C$6*(1-$C$9)-$C$7)/($C$11*G$36*$C$6*$C$10)</f>
        <v/>
      </c>
      <c r="H42" s="70">
        <f>($B42*12*$C$6*(1-$C$9)-$C$7)/($C$11*H$36*$C$6*$C$10)</f>
        <v/>
      </c>
      <c r="I42" s="70">
        <f>($B42*12*$C$6*(1-$C$9)-$C$7)/($C$11*I$36*$C$6*$C$10)</f>
        <v/>
      </c>
    </row>
    <row r="43">
      <c r="B43" s="15" t="n">
        <v>400</v>
      </c>
      <c r="C43" s="70">
        <f>($B43*12*$C$6*(1-$C$9)-$C$7)/($C$11*C$36*$C$6*$C$10)</f>
        <v/>
      </c>
      <c r="D43" s="70">
        <f>($B43*12*$C$6*(1-$C$9)-$C$7)/($C$11*D$36*$C$6*$C$10)</f>
        <v/>
      </c>
      <c r="E43" s="70">
        <f>($B43*12*$C$6*(1-$C$9)-$C$7)/($C$11*E$36*$C$6*$C$10)</f>
        <v/>
      </c>
      <c r="F43" s="70">
        <f>($B43*12*$C$6*(1-$C$9)-$C$7)/($C$11*F$36*$C$6*$C$10)</f>
        <v/>
      </c>
      <c r="G43" s="70">
        <f>($B43*12*$C$6*(1-$C$9)-$C$7)/($C$11*G$36*$C$6*$C$10)</f>
        <v/>
      </c>
      <c r="H43" s="70">
        <f>($B43*12*$C$6*(1-$C$9)-$C$7)/($C$11*H$36*$C$6*$C$10)</f>
        <v/>
      </c>
      <c r="I43" s="70">
        <f>($B43*12*$C$6*(1-$C$9)-$C$7)/($C$11*I$36*$C$6*$C$10)</f>
        <v/>
      </c>
    </row>
    <row r="44">
      <c r="B44" s="15" t="n">
        <v>425</v>
      </c>
      <c r="C44" s="70">
        <f>($B44*12*$C$6*(1-$C$9)-$C$7)/($C$11*C$36*$C$6*$C$10)</f>
        <v/>
      </c>
      <c r="D44" s="70">
        <f>($B44*12*$C$6*(1-$C$9)-$C$7)/($C$11*D$36*$C$6*$C$10)</f>
        <v/>
      </c>
      <c r="E44" s="70">
        <f>($B44*12*$C$6*(1-$C$9)-$C$7)/($C$11*E$36*$C$6*$C$10)</f>
        <v/>
      </c>
      <c r="F44" s="70">
        <f>($B44*12*$C$6*(1-$C$9)-$C$7)/($C$11*F$36*$C$6*$C$10)</f>
        <v/>
      </c>
      <c r="G44" s="70">
        <f>($B44*12*$C$6*(1-$C$9)-$C$7)/($C$11*G$36*$C$6*$C$10)</f>
        <v/>
      </c>
      <c r="H44" s="70">
        <f>($B44*12*$C$6*(1-$C$9)-$C$7)/($C$11*H$36*$C$6*$C$10)</f>
        <v/>
      </c>
      <c r="I44" s="70">
        <f>($B44*12*$C$6*(1-$C$9)-$C$7)/($C$11*I$36*$C$6*$C$10)</f>
        <v/>
      </c>
    </row>
    <row r="45">
      <c r="B45" s="15" t="n">
        <v>450</v>
      </c>
      <c r="C45" s="70">
        <f>($B45*12*$C$6*(1-$C$9)-$C$7)/($C$11*C$36*$C$6*$C$10)</f>
        <v/>
      </c>
      <c r="D45" s="70">
        <f>($B45*12*$C$6*(1-$C$9)-$C$7)/($C$11*D$36*$C$6*$C$10)</f>
        <v/>
      </c>
      <c r="E45" s="70">
        <f>($B45*12*$C$6*(1-$C$9)-$C$7)/($C$11*E$36*$C$6*$C$10)</f>
        <v/>
      </c>
      <c r="F45" s="70">
        <f>($B45*12*$C$6*(1-$C$9)-$C$7)/($C$11*F$36*$C$6*$C$10)</f>
        <v/>
      </c>
      <c r="G45" s="70">
        <f>($B45*12*$C$6*(1-$C$9)-$C$7)/($C$11*G$36*$C$6*$C$10)</f>
        <v/>
      </c>
      <c r="H45" s="70">
        <f>($B45*12*$C$6*(1-$C$9)-$C$7)/($C$11*H$36*$C$6*$C$10)</f>
        <v/>
      </c>
      <c r="I45" s="70">
        <f>($B45*12*$C$6*(1-$C$9)-$C$7)/($C$11*I$36*$C$6*$C$10)</f>
        <v/>
      </c>
    </row>
    <row r="46">
      <c r="B46" s="15" t="n">
        <v>500</v>
      </c>
      <c r="C46" s="70">
        <f>($B46*12*$C$6*(1-$C$9)-$C$7)/($C$11*C$36*$C$6*$C$10)</f>
        <v/>
      </c>
      <c r="D46" s="70">
        <f>($B46*12*$C$6*(1-$C$9)-$C$7)/($C$11*D$36*$C$6*$C$10)</f>
        <v/>
      </c>
      <c r="E46" s="70">
        <f>($B46*12*$C$6*(1-$C$9)-$C$7)/($C$11*E$36*$C$6*$C$10)</f>
        <v/>
      </c>
      <c r="F46" s="70">
        <f>($B46*12*$C$6*(1-$C$9)-$C$7)/($C$11*F$36*$C$6*$C$10)</f>
        <v/>
      </c>
      <c r="G46" s="70">
        <f>($B46*12*$C$6*(1-$C$9)-$C$7)/($C$11*G$36*$C$6*$C$10)</f>
        <v/>
      </c>
      <c r="H46" s="70">
        <f>($B46*12*$C$6*(1-$C$9)-$C$7)/($C$11*H$36*$C$6*$C$10)</f>
        <v/>
      </c>
      <c r="I46" s="70">
        <f>($B46*12*$C$6*(1-$C$9)-$C$7)/($C$11*I$36*$C$6*$C$10)</f>
        <v/>
      </c>
    </row>
    <row r="49">
      <c r="A49" s="5" t="inlineStr">
        <is>
          <t>GRID 2  |  Yield on cost  (unlevered NOI / total project cost)</t>
        </is>
      </c>
      <c r="B49" s="5" t="n"/>
      <c r="C49" s="5" t="n"/>
      <c r="D49" s="5" t="n"/>
      <c r="E49" s="5" t="n"/>
      <c r="F49" s="5" t="n"/>
      <c r="G49" s="5" t="n"/>
      <c r="H49" s="5" t="n"/>
      <c r="I49" s="5" t="n"/>
      <c r="J49" s="5" t="n"/>
      <c r="K49" s="5" t="n"/>
    </row>
    <row r="50" ht="26" customHeight="1">
      <c r="A50" s="19" t="inlineStr">
        <is>
          <t>Merchant developers generally need 150-250 bps of yield-on-cost above the exit cap rate. At a 7.75% exit cap that means roughly a 9.25-10.25% yield on cost.</t>
        </is>
      </c>
      <c r="C50" s="68" t="inlineStr">
        <is>
          <t>All-in cost per stall  -&gt;</t>
        </is>
      </c>
    </row>
    <row r="51" ht="30" customHeight="1">
      <c r="B51" s="4" t="inlineStr">
        <is>
          <t>Blended revenue $ / stall / month</t>
        </is>
      </c>
      <c r="C51" s="69" t="n">
        <v>18000</v>
      </c>
      <c r="D51" s="69" t="n">
        <v>22000</v>
      </c>
      <c r="E51" s="69" t="n">
        <v>26000</v>
      </c>
      <c r="F51" s="69" t="n">
        <v>30000</v>
      </c>
      <c r="G51" s="69" t="n">
        <v>34000</v>
      </c>
      <c r="H51" s="69" t="n">
        <v>38000</v>
      </c>
      <c r="I51" s="69" t="n">
        <v>42000</v>
      </c>
    </row>
    <row r="52">
      <c r="B52" s="15" t="n">
        <v>250</v>
      </c>
      <c r="C52" s="71">
        <f>($B52*12*$C$6*(1-$C$9)-$C$7)/(C$51*$C$6)</f>
        <v/>
      </c>
      <c r="D52" s="71">
        <f>($B52*12*$C$6*(1-$C$9)-$C$7)/(D$51*$C$6)</f>
        <v/>
      </c>
      <c r="E52" s="71">
        <f>($B52*12*$C$6*(1-$C$9)-$C$7)/(E$51*$C$6)</f>
        <v/>
      </c>
      <c r="F52" s="71">
        <f>($B52*12*$C$6*(1-$C$9)-$C$7)/(F$51*$C$6)</f>
        <v/>
      </c>
      <c r="G52" s="71">
        <f>($B52*12*$C$6*(1-$C$9)-$C$7)/(G$51*$C$6)</f>
        <v/>
      </c>
      <c r="H52" s="71">
        <f>($B52*12*$C$6*(1-$C$9)-$C$7)/(H$51*$C$6)</f>
        <v/>
      </c>
      <c r="I52" s="71">
        <f>($B52*12*$C$6*(1-$C$9)-$C$7)/(I$51*$C$6)</f>
        <v/>
      </c>
    </row>
    <row r="53">
      <c r="B53" s="15" t="n">
        <v>275</v>
      </c>
      <c r="C53" s="71">
        <f>($B53*12*$C$6*(1-$C$9)-$C$7)/(C$51*$C$6)</f>
        <v/>
      </c>
      <c r="D53" s="71">
        <f>($B53*12*$C$6*(1-$C$9)-$C$7)/(D$51*$C$6)</f>
        <v/>
      </c>
      <c r="E53" s="71">
        <f>($B53*12*$C$6*(1-$C$9)-$C$7)/(E$51*$C$6)</f>
        <v/>
      </c>
      <c r="F53" s="71">
        <f>($B53*12*$C$6*(1-$C$9)-$C$7)/(F$51*$C$6)</f>
        <v/>
      </c>
      <c r="G53" s="71">
        <f>($B53*12*$C$6*(1-$C$9)-$C$7)/(G$51*$C$6)</f>
        <v/>
      </c>
      <c r="H53" s="71">
        <f>($B53*12*$C$6*(1-$C$9)-$C$7)/(H$51*$C$6)</f>
        <v/>
      </c>
      <c r="I53" s="71">
        <f>($B53*12*$C$6*(1-$C$9)-$C$7)/(I$51*$C$6)</f>
        <v/>
      </c>
    </row>
    <row r="54">
      <c r="B54" s="15" t="n">
        <v>300</v>
      </c>
      <c r="C54" s="71">
        <f>($B54*12*$C$6*(1-$C$9)-$C$7)/(C$51*$C$6)</f>
        <v/>
      </c>
      <c r="D54" s="71">
        <f>($B54*12*$C$6*(1-$C$9)-$C$7)/(D$51*$C$6)</f>
        <v/>
      </c>
      <c r="E54" s="71">
        <f>($B54*12*$C$6*(1-$C$9)-$C$7)/(E$51*$C$6)</f>
        <v/>
      </c>
      <c r="F54" s="71">
        <f>($B54*12*$C$6*(1-$C$9)-$C$7)/(F$51*$C$6)</f>
        <v/>
      </c>
      <c r="G54" s="71">
        <f>($B54*12*$C$6*(1-$C$9)-$C$7)/(G$51*$C$6)</f>
        <v/>
      </c>
      <c r="H54" s="71">
        <f>($B54*12*$C$6*(1-$C$9)-$C$7)/(H$51*$C$6)</f>
        <v/>
      </c>
      <c r="I54" s="71">
        <f>($B54*12*$C$6*(1-$C$9)-$C$7)/(I$51*$C$6)</f>
        <v/>
      </c>
    </row>
    <row r="55">
      <c r="B55" s="15" t="n">
        <v>325</v>
      </c>
      <c r="C55" s="71">
        <f>($B55*12*$C$6*(1-$C$9)-$C$7)/(C$51*$C$6)</f>
        <v/>
      </c>
      <c r="D55" s="71">
        <f>($B55*12*$C$6*(1-$C$9)-$C$7)/(D$51*$C$6)</f>
        <v/>
      </c>
      <c r="E55" s="71">
        <f>($B55*12*$C$6*(1-$C$9)-$C$7)/(E$51*$C$6)</f>
        <v/>
      </c>
      <c r="F55" s="71">
        <f>($B55*12*$C$6*(1-$C$9)-$C$7)/(F$51*$C$6)</f>
        <v/>
      </c>
      <c r="G55" s="71">
        <f>($B55*12*$C$6*(1-$C$9)-$C$7)/(G$51*$C$6)</f>
        <v/>
      </c>
      <c r="H55" s="71">
        <f>($B55*12*$C$6*(1-$C$9)-$C$7)/(H$51*$C$6)</f>
        <v/>
      </c>
      <c r="I55" s="71">
        <f>($B55*12*$C$6*(1-$C$9)-$C$7)/(I$51*$C$6)</f>
        <v/>
      </c>
    </row>
    <row r="56">
      <c r="B56" s="15" t="n">
        <v>350</v>
      </c>
      <c r="C56" s="71">
        <f>($B56*12*$C$6*(1-$C$9)-$C$7)/(C$51*$C$6)</f>
        <v/>
      </c>
      <c r="D56" s="71">
        <f>($B56*12*$C$6*(1-$C$9)-$C$7)/(D$51*$C$6)</f>
        <v/>
      </c>
      <c r="E56" s="71">
        <f>($B56*12*$C$6*(1-$C$9)-$C$7)/(E$51*$C$6)</f>
        <v/>
      </c>
      <c r="F56" s="71">
        <f>($B56*12*$C$6*(1-$C$9)-$C$7)/(F$51*$C$6)</f>
        <v/>
      </c>
      <c r="G56" s="71">
        <f>($B56*12*$C$6*(1-$C$9)-$C$7)/(G$51*$C$6)</f>
        <v/>
      </c>
      <c r="H56" s="71">
        <f>($B56*12*$C$6*(1-$C$9)-$C$7)/(H$51*$C$6)</f>
        <v/>
      </c>
      <c r="I56" s="71">
        <f>($B56*12*$C$6*(1-$C$9)-$C$7)/(I$51*$C$6)</f>
        <v/>
      </c>
    </row>
    <row r="57">
      <c r="B57" s="15" t="n">
        <v>375</v>
      </c>
      <c r="C57" s="71">
        <f>($B57*12*$C$6*(1-$C$9)-$C$7)/(C$51*$C$6)</f>
        <v/>
      </c>
      <c r="D57" s="71">
        <f>($B57*12*$C$6*(1-$C$9)-$C$7)/(D$51*$C$6)</f>
        <v/>
      </c>
      <c r="E57" s="71">
        <f>($B57*12*$C$6*(1-$C$9)-$C$7)/(E$51*$C$6)</f>
        <v/>
      </c>
      <c r="F57" s="71">
        <f>($B57*12*$C$6*(1-$C$9)-$C$7)/(F$51*$C$6)</f>
        <v/>
      </c>
      <c r="G57" s="71">
        <f>($B57*12*$C$6*(1-$C$9)-$C$7)/(G$51*$C$6)</f>
        <v/>
      </c>
      <c r="H57" s="71">
        <f>($B57*12*$C$6*(1-$C$9)-$C$7)/(H$51*$C$6)</f>
        <v/>
      </c>
      <c r="I57" s="71">
        <f>($B57*12*$C$6*(1-$C$9)-$C$7)/(I$51*$C$6)</f>
        <v/>
      </c>
    </row>
    <row r="58">
      <c r="B58" s="15" t="n">
        <v>400</v>
      </c>
      <c r="C58" s="71">
        <f>($B58*12*$C$6*(1-$C$9)-$C$7)/(C$51*$C$6)</f>
        <v/>
      </c>
      <c r="D58" s="71">
        <f>($B58*12*$C$6*(1-$C$9)-$C$7)/(D$51*$C$6)</f>
        <v/>
      </c>
      <c r="E58" s="71">
        <f>($B58*12*$C$6*(1-$C$9)-$C$7)/(E$51*$C$6)</f>
        <v/>
      </c>
      <c r="F58" s="71">
        <f>($B58*12*$C$6*(1-$C$9)-$C$7)/(F$51*$C$6)</f>
        <v/>
      </c>
      <c r="G58" s="71">
        <f>($B58*12*$C$6*(1-$C$9)-$C$7)/(G$51*$C$6)</f>
        <v/>
      </c>
      <c r="H58" s="71">
        <f>($B58*12*$C$6*(1-$C$9)-$C$7)/(H$51*$C$6)</f>
        <v/>
      </c>
      <c r="I58" s="71">
        <f>($B58*12*$C$6*(1-$C$9)-$C$7)/(I$51*$C$6)</f>
        <v/>
      </c>
    </row>
    <row r="59">
      <c r="B59" s="15" t="n">
        <v>425</v>
      </c>
      <c r="C59" s="71">
        <f>($B59*12*$C$6*(1-$C$9)-$C$7)/(C$51*$C$6)</f>
        <v/>
      </c>
      <c r="D59" s="71">
        <f>($B59*12*$C$6*(1-$C$9)-$C$7)/(D$51*$C$6)</f>
        <v/>
      </c>
      <c r="E59" s="71">
        <f>($B59*12*$C$6*(1-$C$9)-$C$7)/(E$51*$C$6)</f>
        <v/>
      </c>
      <c r="F59" s="71">
        <f>($B59*12*$C$6*(1-$C$9)-$C$7)/(F$51*$C$6)</f>
        <v/>
      </c>
      <c r="G59" s="71">
        <f>($B59*12*$C$6*(1-$C$9)-$C$7)/(G$51*$C$6)</f>
        <v/>
      </c>
      <c r="H59" s="71">
        <f>($B59*12*$C$6*(1-$C$9)-$C$7)/(H$51*$C$6)</f>
        <v/>
      </c>
      <c r="I59" s="71">
        <f>($B59*12*$C$6*(1-$C$9)-$C$7)/(I$51*$C$6)</f>
        <v/>
      </c>
    </row>
    <row r="60">
      <c r="B60" s="15" t="n">
        <v>450</v>
      </c>
      <c r="C60" s="71">
        <f>($B60*12*$C$6*(1-$C$9)-$C$7)/(C$51*$C$6)</f>
        <v/>
      </c>
      <c r="D60" s="71">
        <f>($B60*12*$C$6*(1-$C$9)-$C$7)/(D$51*$C$6)</f>
        <v/>
      </c>
      <c r="E60" s="71">
        <f>($B60*12*$C$6*(1-$C$9)-$C$7)/(E$51*$C$6)</f>
        <v/>
      </c>
      <c r="F60" s="71">
        <f>($B60*12*$C$6*(1-$C$9)-$C$7)/(F$51*$C$6)</f>
        <v/>
      </c>
      <c r="G60" s="71">
        <f>($B60*12*$C$6*(1-$C$9)-$C$7)/(G$51*$C$6)</f>
        <v/>
      </c>
      <c r="H60" s="71">
        <f>($B60*12*$C$6*(1-$C$9)-$C$7)/(H$51*$C$6)</f>
        <v/>
      </c>
      <c r="I60" s="71">
        <f>($B60*12*$C$6*(1-$C$9)-$C$7)/(I$51*$C$6)</f>
        <v/>
      </c>
    </row>
    <row r="61">
      <c r="B61" s="15" t="n">
        <v>500</v>
      </c>
      <c r="C61" s="71">
        <f>($B61*12*$C$6*(1-$C$9)-$C$7)/(C$51*$C$6)</f>
        <v/>
      </c>
      <c r="D61" s="71">
        <f>($B61*12*$C$6*(1-$C$9)-$C$7)/(D$51*$C$6)</f>
        <v/>
      </c>
      <c r="E61" s="71">
        <f>($B61*12*$C$6*(1-$C$9)-$C$7)/(E$51*$C$6)</f>
        <v/>
      </c>
      <c r="F61" s="71">
        <f>($B61*12*$C$6*(1-$C$9)-$C$7)/(F$51*$C$6)</f>
        <v/>
      </c>
      <c r="G61" s="71">
        <f>($B61*12*$C$6*(1-$C$9)-$C$7)/(G$51*$C$6)</f>
        <v/>
      </c>
      <c r="H61" s="71">
        <f>($B61*12*$C$6*(1-$C$9)-$C$7)/(H$51*$C$6)</f>
        <v/>
      </c>
      <c r="I61" s="71">
        <f>($B61*12*$C$6*(1-$C$9)-$C$7)/(I$51*$C$6)</f>
        <v/>
      </c>
    </row>
    <row r="64">
      <c r="A64" s="5" t="inlineStr">
        <is>
          <t>GRID 3  |  All-in cost per stall</t>
        </is>
      </c>
      <c r="B64" s="5" t="n"/>
      <c r="C64" s="5" t="n"/>
      <c r="D64" s="5" t="n"/>
      <c r="E64" s="5" t="n"/>
      <c r="F64" s="5" t="n"/>
      <c r="G64" s="5" t="n"/>
      <c r="H64" s="5" t="n"/>
      <c r="I64" s="5" t="n"/>
      <c r="J64" s="5" t="n"/>
      <c r="K64" s="5" t="n"/>
    </row>
    <row r="65" ht="26" customHeight="1">
      <c r="A65" s="19" t="inlineStr">
        <is>
          <t>Land price vs. yard construction cost. Approximate: holds fixed site costs and the soft-cost markup constant, and ignores the small financing-cost feedback from a different land basis.</t>
        </is>
      </c>
      <c r="C65" s="68" t="inlineStr">
        <is>
          <t>Yard construction $ / SF of paved yard  -&gt;</t>
        </is>
      </c>
    </row>
    <row r="66" ht="30" customHeight="1">
      <c r="B66" s="4" t="inlineStr">
        <is>
          <t>Land price $ / acre</t>
        </is>
      </c>
      <c r="C66" s="72" t="n">
        <v>1.5</v>
      </c>
      <c r="D66" s="72" t="n">
        <v>2.5</v>
      </c>
      <c r="E66" s="72" t="n">
        <v>4</v>
      </c>
      <c r="F66" s="72" t="n">
        <v>5.5</v>
      </c>
      <c r="G66" s="72" t="n">
        <v>7</v>
      </c>
      <c r="H66" s="72" t="n">
        <v>8.5</v>
      </c>
      <c r="I66" s="72" t="n">
        <v>10</v>
      </c>
    </row>
    <row r="67">
      <c r="B67" s="15" t="n">
        <v>0</v>
      </c>
      <c r="C67" s="73">
        <f>($B67*$C$14*(1+$C$15)+$C$30)/$C$6+(C$66*$C$16+$C$17)*$C$29</f>
        <v/>
      </c>
      <c r="D67" s="73">
        <f>($B67*$C$14*(1+$C$15)+$C$30)/$C$6+(D$66*$C$16+$C$17)*$C$29</f>
        <v/>
      </c>
      <c r="E67" s="73">
        <f>($B67*$C$14*(1+$C$15)+$C$30)/$C$6+(E$66*$C$16+$C$17)*$C$29</f>
        <v/>
      </c>
      <c r="F67" s="73">
        <f>($B67*$C$14*(1+$C$15)+$C$30)/$C$6+(F$66*$C$16+$C$17)*$C$29</f>
        <v/>
      </c>
      <c r="G67" s="73">
        <f>($B67*$C$14*(1+$C$15)+$C$30)/$C$6+(G$66*$C$16+$C$17)*$C$29</f>
        <v/>
      </c>
      <c r="H67" s="73">
        <f>($B67*$C$14*(1+$C$15)+$C$30)/$C$6+(H$66*$C$16+$C$17)*$C$29</f>
        <v/>
      </c>
      <c r="I67" s="73">
        <f>($B67*$C$14*(1+$C$15)+$C$30)/$C$6+(I$66*$C$16+$C$17)*$C$29</f>
        <v/>
      </c>
    </row>
    <row r="68">
      <c r="B68" s="15" t="n">
        <v>50000</v>
      </c>
      <c r="C68" s="73">
        <f>($B68*$C$14*(1+$C$15)+$C$30)/$C$6+(C$66*$C$16+$C$17)*$C$29</f>
        <v/>
      </c>
      <c r="D68" s="73">
        <f>($B68*$C$14*(1+$C$15)+$C$30)/$C$6+(D$66*$C$16+$C$17)*$C$29</f>
        <v/>
      </c>
      <c r="E68" s="73">
        <f>($B68*$C$14*(1+$C$15)+$C$30)/$C$6+(E$66*$C$16+$C$17)*$C$29</f>
        <v/>
      </c>
      <c r="F68" s="73">
        <f>($B68*$C$14*(1+$C$15)+$C$30)/$C$6+(F$66*$C$16+$C$17)*$C$29</f>
        <v/>
      </c>
      <c r="G68" s="73">
        <f>($B68*$C$14*(1+$C$15)+$C$30)/$C$6+(G$66*$C$16+$C$17)*$C$29</f>
        <v/>
      </c>
      <c r="H68" s="73">
        <f>($B68*$C$14*(1+$C$15)+$C$30)/$C$6+(H$66*$C$16+$C$17)*$C$29</f>
        <v/>
      </c>
      <c r="I68" s="73">
        <f>($B68*$C$14*(1+$C$15)+$C$30)/$C$6+(I$66*$C$16+$C$17)*$C$29</f>
        <v/>
      </c>
    </row>
    <row r="69">
      <c r="B69" s="15" t="n">
        <v>100000</v>
      </c>
      <c r="C69" s="73">
        <f>($B69*$C$14*(1+$C$15)+$C$30)/$C$6+(C$66*$C$16+$C$17)*$C$29</f>
        <v/>
      </c>
      <c r="D69" s="73">
        <f>($B69*$C$14*(1+$C$15)+$C$30)/$C$6+(D$66*$C$16+$C$17)*$C$29</f>
        <v/>
      </c>
      <c r="E69" s="73">
        <f>($B69*$C$14*(1+$C$15)+$C$30)/$C$6+(E$66*$C$16+$C$17)*$C$29</f>
        <v/>
      </c>
      <c r="F69" s="73">
        <f>($B69*$C$14*(1+$C$15)+$C$30)/$C$6+(F$66*$C$16+$C$17)*$C$29</f>
        <v/>
      </c>
      <c r="G69" s="73">
        <f>($B69*$C$14*(1+$C$15)+$C$30)/$C$6+(G$66*$C$16+$C$17)*$C$29</f>
        <v/>
      </c>
      <c r="H69" s="73">
        <f>($B69*$C$14*(1+$C$15)+$C$30)/$C$6+(H$66*$C$16+$C$17)*$C$29</f>
        <v/>
      </c>
      <c r="I69" s="73">
        <f>($B69*$C$14*(1+$C$15)+$C$30)/$C$6+(I$66*$C$16+$C$17)*$C$29</f>
        <v/>
      </c>
    </row>
    <row r="70">
      <c r="B70" s="15" t="n">
        <v>150000</v>
      </c>
      <c r="C70" s="73">
        <f>($B70*$C$14*(1+$C$15)+$C$30)/$C$6+(C$66*$C$16+$C$17)*$C$29</f>
        <v/>
      </c>
      <c r="D70" s="73">
        <f>($B70*$C$14*(1+$C$15)+$C$30)/$C$6+(D$66*$C$16+$C$17)*$C$29</f>
        <v/>
      </c>
      <c r="E70" s="73">
        <f>($B70*$C$14*(1+$C$15)+$C$30)/$C$6+(E$66*$C$16+$C$17)*$C$29</f>
        <v/>
      </c>
      <c r="F70" s="73">
        <f>($B70*$C$14*(1+$C$15)+$C$30)/$C$6+(F$66*$C$16+$C$17)*$C$29</f>
        <v/>
      </c>
      <c r="G70" s="73">
        <f>($B70*$C$14*(1+$C$15)+$C$30)/$C$6+(G$66*$C$16+$C$17)*$C$29</f>
        <v/>
      </c>
      <c r="H70" s="73">
        <f>($B70*$C$14*(1+$C$15)+$C$30)/$C$6+(H$66*$C$16+$C$17)*$C$29</f>
        <v/>
      </c>
      <c r="I70" s="73">
        <f>($B70*$C$14*(1+$C$15)+$C$30)/$C$6+(I$66*$C$16+$C$17)*$C$29</f>
        <v/>
      </c>
    </row>
    <row r="71">
      <c r="B71" s="15" t="n">
        <v>200000</v>
      </c>
      <c r="C71" s="73">
        <f>($B71*$C$14*(1+$C$15)+$C$30)/$C$6+(C$66*$C$16+$C$17)*$C$29</f>
        <v/>
      </c>
      <c r="D71" s="73">
        <f>($B71*$C$14*(1+$C$15)+$C$30)/$C$6+(D$66*$C$16+$C$17)*$C$29</f>
        <v/>
      </c>
      <c r="E71" s="73">
        <f>($B71*$C$14*(1+$C$15)+$C$30)/$C$6+(E$66*$C$16+$C$17)*$C$29</f>
        <v/>
      </c>
      <c r="F71" s="73">
        <f>($B71*$C$14*(1+$C$15)+$C$30)/$C$6+(F$66*$C$16+$C$17)*$C$29</f>
        <v/>
      </c>
      <c r="G71" s="73">
        <f>($B71*$C$14*(1+$C$15)+$C$30)/$C$6+(G$66*$C$16+$C$17)*$C$29</f>
        <v/>
      </c>
      <c r="H71" s="73">
        <f>($B71*$C$14*(1+$C$15)+$C$30)/$C$6+(H$66*$C$16+$C$17)*$C$29</f>
        <v/>
      </c>
      <c r="I71" s="73">
        <f>($B71*$C$14*(1+$C$15)+$C$30)/$C$6+(I$66*$C$16+$C$17)*$C$29</f>
        <v/>
      </c>
    </row>
    <row r="72">
      <c r="B72" s="15" t="n">
        <v>250000</v>
      </c>
      <c r="C72" s="73">
        <f>($B72*$C$14*(1+$C$15)+$C$30)/$C$6+(C$66*$C$16+$C$17)*$C$29</f>
        <v/>
      </c>
      <c r="D72" s="73">
        <f>($B72*$C$14*(1+$C$15)+$C$30)/$C$6+(D$66*$C$16+$C$17)*$C$29</f>
        <v/>
      </c>
      <c r="E72" s="73">
        <f>($B72*$C$14*(1+$C$15)+$C$30)/$C$6+(E$66*$C$16+$C$17)*$C$29</f>
        <v/>
      </c>
      <c r="F72" s="73">
        <f>($B72*$C$14*(1+$C$15)+$C$30)/$C$6+(F$66*$C$16+$C$17)*$C$29</f>
        <v/>
      </c>
      <c r="G72" s="73">
        <f>($B72*$C$14*(1+$C$15)+$C$30)/$C$6+(G$66*$C$16+$C$17)*$C$29</f>
        <v/>
      </c>
      <c r="H72" s="73">
        <f>($B72*$C$14*(1+$C$15)+$C$30)/$C$6+(H$66*$C$16+$C$17)*$C$29</f>
        <v/>
      </c>
      <c r="I72" s="73">
        <f>($B72*$C$14*(1+$C$15)+$C$30)/$C$6+(I$66*$C$16+$C$17)*$C$29</f>
        <v/>
      </c>
    </row>
    <row r="73">
      <c r="B73" s="15" t="n">
        <v>300000</v>
      </c>
      <c r="C73" s="73">
        <f>($B73*$C$14*(1+$C$15)+$C$30)/$C$6+(C$66*$C$16+$C$17)*$C$29</f>
        <v/>
      </c>
      <c r="D73" s="73">
        <f>($B73*$C$14*(1+$C$15)+$C$30)/$C$6+(D$66*$C$16+$C$17)*$C$29</f>
        <v/>
      </c>
      <c r="E73" s="73">
        <f>($B73*$C$14*(1+$C$15)+$C$30)/$C$6+(E$66*$C$16+$C$17)*$C$29</f>
        <v/>
      </c>
      <c r="F73" s="73">
        <f>($B73*$C$14*(1+$C$15)+$C$30)/$C$6+(F$66*$C$16+$C$17)*$C$29</f>
        <v/>
      </c>
      <c r="G73" s="73">
        <f>($B73*$C$14*(1+$C$15)+$C$30)/$C$6+(G$66*$C$16+$C$17)*$C$29</f>
        <v/>
      </c>
      <c r="H73" s="73">
        <f>($B73*$C$14*(1+$C$15)+$C$30)/$C$6+(H$66*$C$16+$C$17)*$C$29</f>
        <v/>
      </c>
      <c r="I73" s="73">
        <f>($B73*$C$14*(1+$C$15)+$C$30)/$C$6+(I$66*$C$16+$C$17)*$C$29</f>
        <v/>
      </c>
    </row>
    <row r="74">
      <c r="B74" s="15" t="n">
        <v>385000</v>
      </c>
      <c r="C74" s="73">
        <f>($B74*$C$14*(1+$C$15)+$C$30)/$C$6+(C$66*$C$16+$C$17)*$C$29</f>
        <v/>
      </c>
      <c r="D74" s="73">
        <f>($B74*$C$14*(1+$C$15)+$C$30)/$C$6+(D$66*$C$16+$C$17)*$C$29</f>
        <v/>
      </c>
      <c r="E74" s="73">
        <f>($B74*$C$14*(1+$C$15)+$C$30)/$C$6+(E$66*$C$16+$C$17)*$C$29</f>
        <v/>
      </c>
      <c r="F74" s="73">
        <f>($B74*$C$14*(1+$C$15)+$C$30)/$C$6+(F$66*$C$16+$C$17)*$C$29</f>
        <v/>
      </c>
      <c r="G74" s="73">
        <f>($B74*$C$14*(1+$C$15)+$C$30)/$C$6+(G$66*$C$16+$C$17)*$C$29</f>
        <v/>
      </c>
      <c r="H74" s="73">
        <f>($B74*$C$14*(1+$C$15)+$C$30)/$C$6+(H$66*$C$16+$C$17)*$C$29</f>
        <v/>
      </c>
      <c r="I74" s="73">
        <f>($B74*$C$14*(1+$C$15)+$C$30)/$C$6+(I$66*$C$16+$C$17)*$C$29</f>
        <v/>
      </c>
    </row>
    <row r="77">
      <c r="A77" s="5" t="inlineStr">
        <is>
          <t>GRID 4  |  DSCR sensitivity to the property-tax assessment</t>
        </is>
      </c>
      <c r="B77" s="5" t="n"/>
      <c r="C77" s="5" t="n"/>
      <c r="D77" s="5" t="n"/>
      <c r="E77" s="5" t="n"/>
      <c r="F77" s="5" t="n"/>
      <c r="G77" s="5" t="n"/>
      <c r="H77" s="5" t="n"/>
      <c r="I77" s="5" t="n"/>
      <c r="J77" s="5" t="n"/>
      <c r="K77" s="5" t="n"/>
    </row>
    <row r="78" ht="26" customHeight="1">
      <c r="A78" s="19" t="inlineStr">
        <is>
          <t>The improvement assessment factor is the largest single soft spot in this model. Bloomfield's 34.40 mill rate on a CT 70% assessment ratio makes taxes a first-order driver, not a rounding item.</t>
        </is>
      </c>
      <c r="C78" s="68" t="inlineStr">
        <is>
          <t>Blended revenue $ / stall / month  -&gt;</t>
        </is>
      </c>
    </row>
    <row r="79" ht="30" customHeight="1">
      <c r="B79" s="4" t="inlineStr">
        <is>
          <t>Assessor factor on improvements</t>
        </is>
      </c>
      <c r="C79" s="69" t="n">
        <v>275</v>
      </c>
      <c r="D79" s="69" t="n">
        <v>300</v>
      </c>
      <c r="E79" s="69" t="n">
        <v>325</v>
      </c>
      <c r="F79" s="69" t="n">
        <v>350</v>
      </c>
      <c r="G79" s="69" t="n">
        <v>375</v>
      </c>
      <c r="H79" s="69" t="n">
        <v>400</v>
      </c>
      <c r="I79" s="69" t="n">
        <v>450</v>
      </c>
    </row>
    <row r="80">
      <c r="B80" s="74" t="n">
        <v>0.2</v>
      </c>
      <c r="C80" s="70">
        <f>(C$79*12*$C$6*(1-$C$9)-$C$31-(($C$22*$C$26+$C$23*$B80)*$C$24*$C$25/1000))/($C$11*$C$27*$C$6*$C$10)</f>
        <v/>
      </c>
      <c r="D80" s="70">
        <f>(D$79*12*$C$6*(1-$C$9)-$C$31-(($C$22*$C$26+$C$23*$B80)*$C$24*$C$25/1000))/($C$11*$C$27*$C$6*$C$10)</f>
        <v/>
      </c>
      <c r="E80" s="70">
        <f>(E$79*12*$C$6*(1-$C$9)-$C$31-(($C$22*$C$26+$C$23*$B80)*$C$24*$C$25/1000))/($C$11*$C$27*$C$6*$C$10)</f>
        <v/>
      </c>
      <c r="F80" s="70">
        <f>(F$79*12*$C$6*(1-$C$9)-$C$31-(($C$22*$C$26+$C$23*$B80)*$C$24*$C$25/1000))/($C$11*$C$27*$C$6*$C$10)</f>
        <v/>
      </c>
      <c r="G80" s="70">
        <f>(G$79*12*$C$6*(1-$C$9)-$C$31-(($C$22*$C$26+$C$23*$B80)*$C$24*$C$25/1000))/($C$11*$C$27*$C$6*$C$10)</f>
        <v/>
      </c>
      <c r="H80" s="70">
        <f>(H$79*12*$C$6*(1-$C$9)-$C$31-(($C$22*$C$26+$C$23*$B80)*$C$24*$C$25/1000))/($C$11*$C$27*$C$6*$C$10)</f>
        <v/>
      </c>
      <c r="I80" s="70">
        <f>(I$79*12*$C$6*(1-$C$9)-$C$31-(($C$22*$C$26+$C$23*$B80)*$C$24*$C$25/1000))/($C$11*$C$27*$C$6*$C$10)</f>
        <v/>
      </c>
    </row>
    <row r="81">
      <c r="B81" s="74" t="n">
        <v>0.3</v>
      </c>
      <c r="C81" s="70">
        <f>(C$79*12*$C$6*(1-$C$9)-$C$31-(($C$22*$C$26+$C$23*$B81)*$C$24*$C$25/1000))/($C$11*$C$27*$C$6*$C$10)</f>
        <v/>
      </c>
      <c r="D81" s="70">
        <f>(D$79*12*$C$6*(1-$C$9)-$C$31-(($C$22*$C$26+$C$23*$B81)*$C$24*$C$25/1000))/($C$11*$C$27*$C$6*$C$10)</f>
        <v/>
      </c>
      <c r="E81" s="70">
        <f>(E$79*12*$C$6*(1-$C$9)-$C$31-(($C$22*$C$26+$C$23*$B81)*$C$24*$C$25/1000))/($C$11*$C$27*$C$6*$C$10)</f>
        <v/>
      </c>
      <c r="F81" s="70">
        <f>(F$79*12*$C$6*(1-$C$9)-$C$31-(($C$22*$C$26+$C$23*$B81)*$C$24*$C$25/1000))/($C$11*$C$27*$C$6*$C$10)</f>
        <v/>
      </c>
      <c r="G81" s="70">
        <f>(G$79*12*$C$6*(1-$C$9)-$C$31-(($C$22*$C$26+$C$23*$B81)*$C$24*$C$25/1000))/($C$11*$C$27*$C$6*$C$10)</f>
        <v/>
      </c>
      <c r="H81" s="70">
        <f>(H$79*12*$C$6*(1-$C$9)-$C$31-(($C$22*$C$26+$C$23*$B81)*$C$24*$C$25/1000))/($C$11*$C$27*$C$6*$C$10)</f>
        <v/>
      </c>
      <c r="I81" s="70">
        <f>(I$79*12*$C$6*(1-$C$9)-$C$31-(($C$22*$C$26+$C$23*$B81)*$C$24*$C$25/1000))/($C$11*$C$27*$C$6*$C$10)</f>
        <v/>
      </c>
    </row>
    <row r="82">
      <c r="B82" s="74" t="n">
        <v>0.4</v>
      </c>
      <c r="C82" s="70">
        <f>(C$79*12*$C$6*(1-$C$9)-$C$31-(($C$22*$C$26+$C$23*$B82)*$C$24*$C$25/1000))/($C$11*$C$27*$C$6*$C$10)</f>
        <v/>
      </c>
      <c r="D82" s="70">
        <f>(D$79*12*$C$6*(1-$C$9)-$C$31-(($C$22*$C$26+$C$23*$B82)*$C$24*$C$25/1000))/($C$11*$C$27*$C$6*$C$10)</f>
        <v/>
      </c>
      <c r="E82" s="70">
        <f>(E$79*12*$C$6*(1-$C$9)-$C$31-(($C$22*$C$26+$C$23*$B82)*$C$24*$C$25/1000))/($C$11*$C$27*$C$6*$C$10)</f>
        <v/>
      </c>
      <c r="F82" s="70">
        <f>(F$79*12*$C$6*(1-$C$9)-$C$31-(($C$22*$C$26+$C$23*$B82)*$C$24*$C$25/1000))/($C$11*$C$27*$C$6*$C$10)</f>
        <v/>
      </c>
      <c r="G82" s="70">
        <f>(G$79*12*$C$6*(1-$C$9)-$C$31-(($C$22*$C$26+$C$23*$B82)*$C$24*$C$25/1000))/($C$11*$C$27*$C$6*$C$10)</f>
        <v/>
      </c>
      <c r="H82" s="70">
        <f>(H$79*12*$C$6*(1-$C$9)-$C$31-(($C$22*$C$26+$C$23*$B82)*$C$24*$C$25/1000))/($C$11*$C$27*$C$6*$C$10)</f>
        <v/>
      </c>
      <c r="I82" s="70">
        <f>(I$79*12*$C$6*(1-$C$9)-$C$31-(($C$22*$C$26+$C$23*$B82)*$C$24*$C$25/1000))/($C$11*$C$27*$C$6*$C$10)</f>
        <v/>
      </c>
    </row>
    <row r="83">
      <c r="B83" s="74" t="n">
        <v>0.45</v>
      </c>
      <c r="C83" s="70">
        <f>(C$79*12*$C$6*(1-$C$9)-$C$31-(($C$22*$C$26+$C$23*$B83)*$C$24*$C$25/1000))/($C$11*$C$27*$C$6*$C$10)</f>
        <v/>
      </c>
      <c r="D83" s="70">
        <f>(D$79*12*$C$6*(1-$C$9)-$C$31-(($C$22*$C$26+$C$23*$B83)*$C$24*$C$25/1000))/($C$11*$C$27*$C$6*$C$10)</f>
        <v/>
      </c>
      <c r="E83" s="70">
        <f>(E$79*12*$C$6*(1-$C$9)-$C$31-(($C$22*$C$26+$C$23*$B83)*$C$24*$C$25/1000))/($C$11*$C$27*$C$6*$C$10)</f>
        <v/>
      </c>
      <c r="F83" s="70">
        <f>(F$79*12*$C$6*(1-$C$9)-$C$31-(($C$22*$C$26+$C$23*$B83)*$C$24*$C$25/1000))/($C$11*$C$27*$C$6*$C$10)</f>
        <v/>
      </c>
      <c r="G83" s="70">
        <f>(G$79*12*$C$6*(1-$C$9)-$C$31-(($C$22*$C$26+$C$23*$B83)*$C$24*$C$25/1000))/($C$11*$C$27*$C$6*$C$10)</f>
        <v/>
      </c>
      <c r="H83" s="70">
        <f>(H$79*12*$C$6*(1-$C$9)-$C$31-(($C$22*$C$26+$C$23*$B83)*$C$24*$C$25/1000))/($C$11*$C$27*$C$6*$C$10)</f>
        <v/>
      </c>
      <c r="I83" s="70">
        <f>(I$79*12*$C$6*(1-$C$9)-$C$31-(($C$22*$C$26+$C$23*$B83)*$C$24*$C$25/1000))/($C$11*$C$27*$C$6*$C$10)</f>
        <v/>
      </c>
    </row>
    <row r="84">
      <c r="B84" s="74" t="n">
        <v>0.55</v>
      </c>
      <c r="C84" s="70">
        <f>(C$79*12*$C$6*(1-$C$9)-$C$31-(($C$22*$C$26+$C$23*$B84)*$C$24*$C$25/1000))/($C$11*$C$27*$C$6*$C$10)</f>
        <v/>
      </c>
      <c r="D84" s="70">
        <f>(D$79*12*$C$6*(1-$C$9)-$C$31-(($C$22*$C$26+$C$23*$B84)*$C$24*$C$25/1000))/($C$11*$C$27*$C$6*$C$10)</f>
        <v/>
      </c>
      <c r="E84" s="70">
        <f>(E$79*12*$C$6*(1-$C$9)-$C$31-(($C$22*$C$26+$C$23*$B84)*$C$24*$C$25/1000))/($C$11*$C$27*$C$6*$C$10)</f>
        <v/>
      </c>
      <c r="F84" s="70">
        <f>(F$79*12*$C$6*(1-$C$9)-$C$31-(($C$22*$C$26+$C$23*$B84)*$C$24*$C$25/1000))/($C$11*$C$27*$C$6*$C$10)</f>
        <v/>
      </c>
      <c r="G84" s="70">
        <f>(G$79*12*$C$6*(1-$C$9)-$C$31-(($C$22*$C$26+$C$23*$B84)*$C$24*$C$25/1000))/($C$11*$C$27*$C$6*$C$10)</f>
        <v/>
      </c>
      <c r="H84" s="70">
        <f>(H$79*12*$C$6*(1-$C$9)-$C$31-(($C$22*$C$26+$C$23*$B84)*$C$24*$C$25/1000))/($C$11*$C$27*$C$6*$C$10)</f>
        <v/>
      </c>
      <c r="I84" s="70">
        <f>(I$79*12*$C$6*(1-$C$9)-$C$31-(($C$22*$C$26+$C$23*$B84)*$C$24*$C$25/1000))/($C$11*$C$27*$C$6*$C$10)</f>
        <v/>
      </c>
    </row>
    <row r="85">
      <c r="B85" s="74" t="n">
        <v>0.65</v>
      </c>
      <c r="C85" s="70">
        <f>(C$79*12*$C$6*(1-$C$9)-$C$31-(($C$22*$C$26+$C$23*$B85)*$C$24*$C$25/1000))/($C$11*$C$27*$C$6*$C$10)</f>
        <v/>
      </c>
      <c r="D85" s="70">
        <f>(D$79*12*$C$6*(1-$C$9)-$C$31-(($C$22*$C$26+$C$23*$B85)*$C$24*$C$25/1000))/($C$11*$C$27*$C$6*$C$10)</f>
        <v/>
      </c>
      <c r="E85" s="70">
        <f>(E$79*12*$C$6*(1-$C$9)-$C$31-(($C$22*$C$26+$C$23*$B85)*$C$24*$C$25/1000))/($C$11*$C$27*$C$6*$C$10)</f>
        <v/>
      </c>
      <c r="F85" s="70">
        <f>(F$79*12*$C$6*(1-$C$9)-$C$31-(($C$22*$C$26+$C$23*$B85)*$C$24*$C$25/1000))/($C$11*$C$27*$C$6*$C$10)</f>
        <v/>
      </c>
      <c r="G85" s="70">
        <f>(G$79*12*$C$6*(1-$C$9)-$C$31-(($C$22*$C$26+$C$23*$B85)*$C$24*$C$25/1000))/($C$11*$C$27*$C$6*$C$10)</f>
        <v/>
      </c>
      <c r="H85" s="70">
        <f>(H$79*12*$C$6*(1-$C$9)-$C$31-(($C$22*$C$26+$C$23*$B85)*$C$24*$C$25/1000))/($C$11*$C$27*$C$6*$C$10)</f>
        <v/>
      </c>
      <c r="I85" s="70">
        <f>(I$79*12*$C$6*(1-$C$9)-$C$31-(($C$22*$C$26+$C$23*$B85)*$C$24*$C$25/1000))/($C$11*$C$27*$C$6*$C$10)</f>
        <v/>
      </c>
    </row>
    <row r="86">
      <c r="B86" s="74" t="n">
        <v>0.8</v>
      </c>
      <c r="C86" s="70">
        <f>(C$79*12*$C$6*(1-$C$9)-$C$31-(($C$22*$C$26+$C$23*$B86)*$C$24*$C$25/1000))/($C$11*$C$27*$C$6*$C$10)</f>
        <v/>
      </c>
      <c r="D86" s="70">
        <f>(D$79*12*$C$6*(1-$C$9)-$C$31-(($C$22*$C$26+$C$23*$B86)*$C$24*$C$25/1000))/($C$11*$C$27*$C$6*$C$10)</f>
        <v/>
      </c>
      <c r="E86" s="70">
        <f>(E$79*12*$C$6*(1-$C$9)-$C$31-(($C$22*$C$26+$C$23*$B86)*$C$24*$C$25/1000))/($C$11*$C$27*$C$6*$C$10)</f>
        <v/>
      </c>
      <c r="F86" s="70">
        <f>(F$79*12*$C$6*(1-$C$9)-$C$31-(($C$22*$C$26+$C$23*$B86)*$C$24*$C$25/1000))/($C$11*$C$27*$C$6*$C$10)</f>
        <v/>
      </c>
      <c r="G86" s="70">
        <f>(G$79*12*$C$6*(1-$C$9)-$C$31-(($C$22*$C$26+$C$23*$B86)*$C$24*$C$25/1000))/($C$11*$C$27*$C$6*$C$10)</f>
        <v/>
      </c>
      <c r="H86" s="70">
        <f>(H$79*12*$C$6*(1-$C$9)-$C$31-(($C$22*$C$26+$C$23*$B86)*$C$24*$C$25/1000))/($C$11*$C$27*$C$6*$C$10)</f>
        <v/>
      </c>
      <c r="I86" s="70">
        <f>(I$79*12*$C$6*(1-$C$9)-$C$31-(($C$22*$C$26+$C$23*$B86)*$C$24*$C$25/1000))/($C$11*$C$27*$C$6*$C$10)</f>
        <v/>
      </c>
    </row>
    <row r="87">
      <c r="B87" s="74" t="n">
        <v>1</v>
      </c>
      <c r="C87" s="70">
        <f>(C$79*12*$C$6*(1-$C$9)-$C$31-(($C$22*$C$26+$C$23*$B87)*$C$24*$C$25/1000))/($C$11*$C$27*$C$6*$C$10)</f>
        <v/>
      </c>
      <c r="D87" s="70">
        <f>(D$79*12*$C$6*(1-$C$9)-$C$31-(($C$22*$C$26+$C$23*$B87)*$C$24*$C$25/1000))/($C$11*$C$27*$C$6*$C$10)</f>
        <v/>
      </c>
      <c r="E87" s="70">
        <f>(E$79*12*$C$6*(1-$C$9)-$C$31-(($C$22*$C$26+$C$23*$B87)*$C$24*$C$25/1000))/($C$11*$C$27*$C$6*$C$10)</f>
        <v/>
      </c>
      <c r="F87" s="70">
        <f>(F$79*12*$C$6*(1-$C$9)-$C$31-(($C$22*$C$26+$C$23*$B87)*$C$24*$C$25/1000))/($C$11*$C$27*$C$6*$C$10)</f>
        <v/>
      </c>
      <c r="G87" s="70">
        <f>(G$79*12*$C$6*(1-$C$9)-$C$31-(($C$22*$C$26+$C$23*$B87)*$C$24*$C$25/1000))/($C$11*$C$27*$C$6*$C$10)</f>
        <v/>
      </c>
      <c r="H87" s="70">
        <f>(H$79*12*$C$6*(1-$C$9)-$C$31-(($C$22*$C$26+$C$23*$B87)*$C$24*$C$25/1000))/($C$11*$C$27*$C$6*$C$10)</f>
        <v/>
      </c>
      <c r="I87" s="70">
        <f>(I$79*12*$C$6*(1-$C$9)-$C$31-(($C$22*$C$26+$C$23*$B87)*$C$24*$C$25/1000))/($C$11*$C$27*$C$6*$C$10)</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0"/>
  <sheetViews>
    <sheetView showGridLines="0" workbookViewId="0">
      <pane ySplit="4" topLeftCell="A5" activePane="bottomLeft" state="frozen"/>
      <selection pane="bottomLeft" activeCell="A1" sqref="A1"/>
    </sheetView>
  </sheetViews>
  <sheetFormatPr baseColWidth="8" defaultRowHeight="15"/>
  <cols>
    <col width="34" customWidth="1" min="1" max="1"/>
    <col width="96" customWidth="1" min="2" max="2"/>
    <col width="60" customWidth="1" min="3" max="3"/>
  </cols>
  <sheetData>
    <row r="1">
      <c r="A1" s="1" t="inlineStr">
        <is>
          <t>Sources, Benchmarks &amp; Modeling Notes</t>
        </is>
      </c>
    </row>
    <row r="2">
      <c r="A2" s="2" t="inlineStr">
        <is>
          <t>Every hardcoded number in this model traces to one of the benchmarks below, to a stated engineering calculation, or to a labeled judgment call.</t>
        </is>
      </c>
    </row>
    <row r="4">
      <c r="A4" s="59" t="inlineStr">
        <is>
          <t>Topic</t>
        </is>
      </c>
      <c r="B4" s="59" t="inlineStr">
        <is>
          <t>What it establishes</t>
        </is>
      </c>
      <c r="C4" s="59" t="inlineStr">
        <is>
          <t>Source</t>
        </is>
      </c>
    </row>
    <row r="5" ht="46" customHeight="1">
      <c r="A5" s="75" t="inlineStr">
        <is>
          <t>CT truck parking demand</t>
        </is>
      </c>
      <c r="B5" s="76" t="inlineStr">
        <is>
          <t>CT has roughly 1,238 truck parking spaces; 92% of demand concentrates on I-95, I-84, I-91 and I-395, mostly overnight; demand projected to grow 18% by 2040. Establishes that the shortage is real and structural.</t>
        </is>
      </c>
      <c r="C5" s="77" t="inlineStr">
        <is>
          <t>CTDOT statewide truck parking study / CT Freight Plan - portal.ct.gov/dot</t>
        </is>
      </c>
    </row>
    <row r="6" ht="46" customHeight="1">
      <c r="A6" s="75" t="inlineStr">
        <is>
          <t>Public supply expansion</t>
        </is>
      </c>
      <c r="B6" s="76" t="inlineStr">
        <is>
          <t>$31M CTDOT program adds 180+ spaces at Middletown, Madison, Southington, Southbury and Vernon by ~2030, taking public capacity from ~420 to ~600. Implies ~$172k per space at public prevailing-wage pricing, and is the competitive backdrop for any private facility.</t>
        </is>
      </c>
      <c r="C6" s="77" t="inlineStr">
        <is>
          <t>CTDOT press release (2024); Hartford Business Journal; CCJ</t>
        </is>
      </c>
    </row>
    <row r="7" ht="46" customHeight="1">
      <c r="A7" s="75" t="inlineStr">
        <is>
          <t>Development cost - rule of thumb</t>
        </is>
      </c>
      <c r="B7" s="76" t="inlineStr">
        <is>
          <t>$100k-$200k per acre for new truck parking construction excluding land; standard yield 25 trucks/acre; implies $4,000-$8,000 per stall. Used as a low-cost-market floor, NOT as the Connecticut number.</t>
        </is>
      </c>
      <c r="C7" s="77" t="inlineStr">
        <is>
          <t>Truck Parking Club - Cost of Building a Truck Parking Lot</t>
        </is>
      </c>
    </row>
    <row r="8" ht="46" customHeight="1">
      <c r="A8" s="75" t="inlineStr">
        <is>
          <t>Surface parking cost - national</t>
        </is>
      </c>
      <c r="B8" s="76" t="inlineStr">
        <is>
          <t>$4,500-$6,800 per completed surface space in 2026 including paving, drainage, striping, lighting, signage and basic technology.</t>
        </is>
      </c>
      <c r="C8" s="77" t="inlineStr">
        <is>
          <t>Wins Parking - Parking Lot Construction Cost Guide (2026)</t>
        </is>
      </c>
    </row>
    <row r="9" ht="46" customHeight="1">
      <c r="A9" s="75" t="inlineStr">
        <is>
          <t>Paving cost - heavy duty</t>
        </is>
      </c>
      <c r="B9" s="76" t="inlineStr">
        <is>
          <t>Commercial asphalt $4-$10/SF; heavy-duty truck sections $7-$12+/SF (4-6" asphalt over 10-12"+ aggregate base). CT specifically $4-$11/SF, with CT construction costs ~1.32x the national average.</t>
        </is>
      </c>
      <c r="C9" s="77" t="inlineStr">
        <is>
          <t>Asphalt Coatings Co.; The Pavement Group; CostFlowAI CT calculator</t>
        </is>
      </c>
    </row>
    <row r="10" ht="46" customHeight="1">
      <c r="A10" s="75" t="inlineStr">
        <is>
          <t>Stall geometry</t>
        </is>
      </c>
      <c r="B10" s="76" t="inlineStr">
        <is>
          <t>A tractor-trailer stall is ~14' x 75'; a trailer-only stall ~14' x 55'. Model uses 12' x 75' plus half of a 75' back-in aisle = 1,450 SF per stall all-in.</t>
        </is>
      </c>
      <c r="C10" s="77" t="inlineStr">
        <is>
          <t>Truck Parking Club; standard AASHTO/industry layout practice</t>
        </is>
      </c>
    </row>
    <row r="11" ht="46" customHeight="1">
      <c r="A11" s="75" t="inlineStr">
        <is>
          <t>Parking rates - national bands</t>
        </is>
      </c>
      <c r="B11" s="76" t="inlineStr">
        <is>
          <t>$12-$25 per night at chain travel centers; $50-$150/month for bobtails and box trucks at private lots; $150-$500+/month for full tractor-trailer configurations, regionally dependent.</t>
        </is>
      </c>
      <c r="C11" s="77" t="inlineStr">
        <is>
          <t>RecNation - How Much Is Truck Parking</t>
        </is>
      </c>
    </row>
    <row r="12" ht="46" customHeight="1">
      <c r="A12" s="75" t="inlineStr">
        <is>
          <t>Parking rates - Hartford metro</t>
        </is>
      </c>
      <c r="B12" s="76" t="inlineStr">
        <is>
          <t>Hartford ~$81/month average for 22' tractor spaces; East Hartford ~$96; West Hartford ~$106 (12-35' spaces). These are small-vehicle spaces, so they set a FLOOR, not the 53' secured rate. Model uses $315-$340/month for a secured, lit, gated 53' stall.</t>
        </is>
      </c>
      <c r="C12" s="77" t="inlineStr">
        <is>
          <t>Neighbor.com marketplace listings, Hartford / East Hartford / West Hartford</t>
        </is>
      </c>
    </row>
    <row r="13" ht="46" customHeight="1">
      <c r="A13" s="75" t="inlineStr">
        <is>
          <t>Occupancy &amp; stabilization</t>
        </is>
      </c>
      <c r="B13" s="76" t="inlineStr">
        <is>
          <t>70% occupancy is a typical stabilization target, generally reached within ~36 months; professionally managed, tech-enabled facilities report 92-98%. Model underwrites 88-90% stabilized with a 45% / 78% / 100% ramp.</t>
        </is>
      </c>
      <c r="C13" s="77" t="inlineStr">
        <is>
          <t>Truck Parking Club development materials; Truckspace</t>
        </is>
      </c>
    </row>
    <row r="14" ht="46" customHeight="1">
      <c r="A14" s="75" t="inlineStr">
        <is>
          <t>IOS cap rates</t>
        </is>
      </c>
      <c r="B14" s="76" t="inlineStr">
        <is>
          <t>2026: 6.00-6.75% for stabilized institutional IOS in primary markets; 6.75-7.75% in secondary markets; broader range 6.5-9.0%. IOS prices 25-75 bps wide of comparable industrial. Hartford is secondary.</t>
        </is>
      </c>
      <c r="C14" s="77" t="inlineStr">
        <is>
          <t>Matthews 2026 IOS Sector Update; Commercial Lending Solutions</t>
        </is>
      </c>
    </row>
    <row r="15" ht="46" customHeight="1">
      <c r="A15" s="75" t="inlineStr">
        <is>
          <t>Debt terms</t>
        </is>
      </c>
      <c r="B15" s="76" t="inlineStr">
        <is>
          <t>Commercial mortgage rates start ~5.74% (Aug 2026); industrial bridge 7.5-9.5%; DSCR floors 1.25x for core, 1.30-1.40x for other property types; 25-year amortization available.</t>
        </is>
      </c>
      <c r="C15" s="77" t="inlineStr">
        <is>
          <t>Select Commercial; PeerSense; Commercial Lending USA</t>
        </is>
      </c>
    </row>
    <row r="16" ht="46" customHeight="1">
      <c r="A16" s="75" t="inlineStr">
        <is>
          <t>Bloomfield mill rate</t>
        </is>
      </c>
      <c r="B16" s="76" t="inlineStr">
        <is>
          <t>2025 Grand List adopted mill rate 34.40 for real and personal property (year 2 of a 4-year revaluation phase-in). FY2026 budget forum projected ~34.03. CT assesses at 70% of fair market value.</t>
        </is>
      </c>
      <c r="C16" s="77" t="inlineStr">
        <is>
          <t>Town of Bloomfield - Town's Mill Rate / Assessor / FY2026 Budget Forum</t>
        </is>
      </c>
    </row>
    <row r="17" ht="46" customHeight="1">
      <c r="A17" s="75" t="inlineStr">
        <is>
          <t>Bloomfield zoning</t>
        </is>
      </c>
      <c r="B17" s="76" t="inlineStr">
        <is>
          <t>Bloomfield TPZ has treated outdoor storage as a use that is NOT permitted as a principal use - approved as an accessory use by special permit, with a ZBA variance otherwise required. A standalone commercial truck-parking yard would likely need a text amendment or variance. This is the gating risk on the whole deal.</t>
        </is>
      </c>
      <c r="C17" s="77" t="inlineStr">
        <is>
          <t>Bloomfield Town Plan &amp; Zoning Commission meeting minutes (2025-2026)</t>
        </is>
      </c>
    </row>
    <row r="18" ht="46" customHeight="1">
      <c r="A18" s="75" t="inlineStr">
        <is>
          <t>Bloomfield industrial land</t>
        </is>
      </c>
      <c r="B18" s="76" t="inlineStr">
        <is>
          <t>CT industrial land averages ~$110k/acre across 31 listed properties; a Bloomfield flex industrial property (23,825 SF on 2.51 acres) traded at $1.86M in July 2026. Model uses $175k/acre raw and $385k/acre for an already-paved improved yard.</t>
        </is>
      </c>
      <c r="C18" s="77" t="inlineStr">
        <is>
          <t>LandSearch CT industrial; Hartford Business Journal</t>
        </is>
      </c>
    </row>
    <row r="19" ht="46" customHeight="1">
      <c r="A19" s="75" t="inlineStr">
        <is>
          <t>Bloomfield industrial context</t>
        </is>
      </c>
      <c r="B19" s="76" t="inlineStr">
        <is>
          <t>Active industrial corridor along Blue Hills Ave / Cottage Grove Rd; a 74,520 SF warehouse and distribution center was proposed on 8.7 acres at 59-69 Douglas St near Routes 218/187 with easy I-91 access. Confirms both freight demand and the availability of comparable parcels.</t>
        </is>
      </c>
      <c r="C19" s="77" t="inlineStr">
        <is>
          <t>Hartford Business Journal; Sentry Commercial / LoopNet listings</t>
        </is>
      </c>
    </row>
    <row r="20" ht="46" customHeight="1">
      <c r="A20" s="75" t="inlineStr">
        <is>
          <t>Insurance</t>
        </is>
      </c>
      <c r="B20" s="76" t="inlineStr">
        <is>
          <t>IOS truck-parking operators need garagekeepers legal liability in addition to standard GL and property - a coverage line that does not appear in a generic parking-lot pro forma.</t>
        </is>
      </c>
      <c r="C20" s="77" t="inlineStr">
        <is>
          <t>CNS Insurance; InsuranceHub - insurance for truck parking lots</t>
        </is>
      </c>
    </row>
    <row r="22">
      <c r="A22" s="9" t="inlineStr">
        <is>
          <t>MODELING NOTES &amp; KNOWN LIMITATIONS</t>
        </is>
      </c>
    </row>
    <row r="23" ht="40" customHeight="1">
      <c r="A23" s="76" t="inlineStr">
        <is>
          <t>- Stall count is derived, not asserted: gross acres x 43,560 x net yard efficiency / 1,450 SF per stall. Change any of the three and the whole model repoints.</t>
        </is>
      </c>
    </row>
    <row r="24" ht="40" customHeight="1">
      <c r="A24" s="76" t="inlineStr">
        <is>
          <t>- Fixed vs. variable split: variable = yard construction ($/SF of paved area) plus per-stall discrete items (lighting, electrical, pedestals, camera density). Everything else - land, entitlement, stormwater basin, gatehouse, fence, gates, security head-end, utilities, financing, lease-up reserve - is fixed. Soft-cost loadings and contingency are allocated pro-rata by share of hard cost.</t>
        </is>
      </c>
    </row>
    <row r="25" ht="40" customHeight="1">
      <c r="A25" s="76" t="inlineStr">
        <is>
          <t>- Property taxes are modeled on an assessor factor applied to cost basis, not on an income-approach valuation. A CT assessor may use either. Grid 4 on the Sensitivity tab shows the full range of outcomes; this is the single largest soft spot in the model.</t>
        </is>
      </c>
    </row>
    <row r="26" ht="40" customHeight="1">
      <c r="A26" s="76" t="inlineStr">
        <is>
          <t>- There is no circular reference: the lease-up reserve depends on stabilized opex, and opex depends on the capitalized cost BEFORE the reserve. Do not repoint the tax formula at total project cost or the workbook will become circular.</t>
        </is>
      </c>
    </row>
    <row r="27" ht="40" customHeight="1">
      <c r="A27" s="76" t="inlineStr">
        <is>
          <t>- Break-even solves hold NOI constant, so the maximum supportable cost and maximum land price ignore the second-order property-tax relief from a lower cost basis. Both are therefore mildly conservative.</t>
        </is>
      </c>
    </row>
    <row r="28" ht="40" customHeight="1">
      <c r="A28" s="76" t="inlineStr">
        <is>
          <t>- No revenue is assumed from a truck wash, fuel, a repair bay or a convenience store. Those are separate businesses with their own capex and are the usual way a highway-adjacent truck stop closes an economics gap - Bloomfield's off-highway location makes them harder to justify.</t>
        </is>
      </c>
    </row>
    <row r="29" ht="40" customHeight="1">
      <c r="A29" s="76" t="inlineStr">
        <is>
          <t>- Environmental risk is carried as an allowance, not a budget. CT's Release-Based Remediation program replaced the Transfer Act; a previously-industrial paved yard (S3) can carry remediation exposure well beyond the $95,000 allowance shown.</t>
        </is>
      </c>
    </row>
    <row r="30" ht="40" customHeight="1">
      <c r="A30" s="76" t="inlineStr">
        <is>
          <t>- Ledge and unsuitable soils are the largest single greenfield cost shock in this part of Connecticut and are covered only by the general contingency. A geotechnical investigation should precede any hard commitment on land.</t>
        </is>
      </c>
    </row>
  </sheetData>
  <mergeCells count="8">
    <mergeCell ref="A25:C25"/>
    <mergeCell ref="A28:C28"/>
    <mergeCell ref="A23:C23"/>
    <mergeCell ref="A27:C27"/>
    <mergeCell ref="A30:C30"/>
    <mergeCell ref="A29:C29"/>
    <mergeCell ref="A26:C26"/>
    <mergeCell ref="A24:C2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0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Scale &amp; Density  -  the dominant lever on cost per stall</t>
        </is>
      </c>
    </row>
    <row r="2">
      <c r="A2" s="2" t="inlineStr">
        <is>
          <t>Fixed site costs are 56-81% of this deal's capital cost, so cost per stall falls fast with site size and stall density. Selector in C3.</t>
        </is>
      </c>
    </row>
    <row r="3">
      <c r="A3" s="9" t="inlineStr">
        <is>
          <t>SCENARIO SELECTOR  -&gt;</t>
        </is>
      </c>
      <c r="C3" s="57" t="n">
        <v>2</v>
      </c>
      <c r="D3" s="58">
        <f>CHOOSE($C$3,"S1  Greenfield, full-depth asphalt, staffed","S2  Greenfield, value-engineered, unmanned","S3  Retrofit of an existing paved yard")</f>
        <v/>
      </c>
    </row>
    <row r="5">
      <c r="A5" s="5" t="inlineStr">
        <is>
          <t>SELECTED SCENARIO DRIVERS</t>
        </is>
      </c>
      <c r="B5" s="5" t="n"/>
      <c r="C5" s="5" t="n"/>
      <c r="D5" s="5" t="n"/>
      <c r="E5" s="5" t="n"/>
      <c r="F5" s="5" t="n"/>
      <c r="G5" s="5" t="n"/>
      <c r="H5" s="5" t="n"/>
      <c r="I5" s="5" t="n"/>
      <c r="J5" s="5" t="n"/>
    </row>
    <row r="6">
      <c r="A6" s="6" t="inlineStr">
        <is>
          <t>Base gross acres</t>
        </is>
      </c>
      <c r="C6" s="8">
        <f>INDEX(Assumptions!$C$6:$E$6,$C$3)</f>
        <v/>
      </c>
    </row>
    <row r="7">
      <c r="A7" s="6" t="inlineStr">
        <is>
          <t>Net yard efficiency</t>
        </is>
      </c>
      <c r="C7" s="21">
        <f>INDEX(Assumptions!$C$7:$E$7,$C$3)</f>
        <v/>
      </c>
    </row>
    <row r="8">
      <c r="A8" s="6" t="inlineStr">
        <is>
          <t>Land price ($/acre)</t>
        </is>
      </c>
      <c r="C8" s="12">
        <f>INDEX(Assumptions!$C$15:$E$15,$C$3)</f>
        <v/>
      </c>
    </row>
    <row r="9">
      <c r="A9" s="6" t="inlineStr">
        <is>
          <t>Acquisition closing costs</t>
        </is>
      </c>
      <c r="C9" s="21">
        <f>INDEX(Assumptions!$C$17:$E$17,$C$3)</f>
        <v/>
      </c>
    </row>
    <row r="10">
      <c r="A10" s="6" t="inlineStr">
        <is>
          <t>Yard construction ($/SF)</t>
        </is>
      </c>
      <c r="C10" s="78">
        <f>INDEX(Capex_Variable!$C$12:$E$12,$C$3)</f>
        <v/>
      </c>
    </row>
    <row r="11">
      <c r="A11" s="6" t="inlineStr">
        <is>
          <t>Per-stall discrete items ($/stall)</t>
        </is>
      </c>
      <c r="C11" s="12">
        <f>INDEX(Capex_Variable!$C$20:$E$20,$C$3)</f>
        <v/>
      </c>
    </row>
    <row r="12">
      <c r="A12" s="6" t="inlineStr">
        <is>
          <t>Base variable hard cost ($)</t>
        </is>
      </c>
      <c r="C12" s="12">
        <f>INDEX(Cost_Per_Stall!$C$7:$E$7,$C$3)</f>
        <v/>
      </c>
    </row>
    <row r="13">
      <c r="A13" s="6" t="inlineStr">
        <is>
          <t>Base variable all-in cost ($)</t>
        </is>
      </c>
      <c r="C13" s="12">
        <f>INDEX(Cost_Per_Stall!$C$41:$E$41,$C$3)</f>
        <v/>
      </c>
    </row>
    <row r="14">
      <c r="A14" s="6" t="inlineStr">
        <is>
          <t>Base fixed all-in cost ($)</t>
        </is>
      </c>
      <c r="C14" s="12">
        <f>INDEX(Cost_Per_Stall!$C$42:$E$42,$C$3)</f>
        <v/>
      </c>
    </row>
    <row r="15">
      <c r="A15" s="6" t="inlineStr">
        <is>
          <t>Base land + closing ($)</t>
        </is>
      </c>
      <c r="C15" s="12">
        <f>INDEX(Cost_Per_Stall!$C$21:$E$21,$C$3)</f>
        <v/>
      </c>
    </row>
    <row r="16">
      <c r="A16" s="6" t="inlineStr">
        <is>
          <t>Insurance ($/stall/yr)</t>
        </is>
      </c>
      <c r="C16" s="12">
        <f>INDEX(Assumptions!$C$32:$E$32,$C$3)</f>
        <v/>
      </c>
    </row>
    <row r="17">
      <c r="A17" s="6" t="inlineStr">
        <is>
          <t>Repairs &amp; maintenance ($/stall/yr)</t>
        </is>
      </c>
      <c r="C17" s="12">
        <f>INDEX(Assumptions!$C$36:$E$36,$C$3)</f>
        <v/>
      </c>
    </row>
    <row r="18">
      <c r="A18" s="6" t="inlineStr">
        <is>
          <t>Utilities ($/stall/yr)</t>
        </is>
      </c>
      <c r="C18" s="12">
        <f>INDEX(Assumptions!$C$37:$E$37,$C$3)</f>
        <v/>
      </c>
    </row>
    <row r="19">
      <c r="A19" s="6" t="inlineStr">
        <is>
          <t>Trash &amp; restrooms ($/stall/yr)</t>
        </is>
      </c>
      <c r="C19" s="12">
        <f>INDEX(Assumptions!$C$38:$E$38,$C$3)</f>
        <v/>
      </c>
    </row>
    <row r="20">
      <c r="A20" s="6" t="inlineStr">
        <is>
          <t>Marketing ($/stall/yr)</t>
        </is>
      </c>
      <c r="C20" s="12">
        <f>INDEX(Assumptions!$C$41:$E$41,$C$3)</f>
        <v/>
      </c>
    </row>
    <row r="21">
      <c r="A21" s="6" t="inlineStr">
        <is>
          <t>Replacement reserve ($/stall/yr)</t>
        </is>
      </c>
      <c r="C21" s="12">
        <f>INDEX(Assumptions!$C$43:$E$43,$C$3)</f>
        <v/>
      </c>
    </row>
    <row r="22">
      <c r="A22" s="6" t="inlineStr">
        <is>
          <t>Snow &amp; ice ($/paved acre/yr)</t>
        </is>
      </c>
      <c r="C22" s="12">
        <f>INDEX(Assumptions!$C$35:$E$35,$C$3)</f>
        <v/>
      </c>
    </row>
    <row r="23">
      <c r="A23" s="6" t="inlineStr">
        <is>
          <t>On-site staffing ($/yr)</t>
        </is>
      </c>
      <c r="C23" s="12">
        <f>INDEX(Assumptions!$C$33:$E$33,$C$3)</f>
        <v/>
      </c>
    </row>
    <row r="24">
      <c r="A24" s="6" t="inlineStr">
        <is>
          <t>Remote monitoring ($/yr)</t>
        </is>
      </c>
      <c r="C24" s="12">
        <f>INDEX(Assumptions!$C$34:$E$34,$C$3)</f>
        <v/>
      </c>
    </row>
    <row r="25">
      <c r="A25" s="6" t="inlineStr">
        <is>
          <t>Professional fees ($/yr)</t>
        </is>
      </c>
      <c r="C25" s="12">
        <f>INDEX(Assumptions!$C$42:$E$42,$C$3)</f>
        <v/>
      </c>
    </row>
    <row r="26">
      <c r="A26" s="6" t="inlineStr">
        <is>
          <t>Revenue-linked opex (% of EGI)</t>
        </is>
      </c>
      <c r="C26" s="65">
        <f>INDEX(Revenue_NOI!$C$38:$E$38,$C$3)</f>
        <v/>
      </c>
    </row>
    <row r="27">
      <c r="A27" s="6" t="inlineStr">
        <is>
          <t>CT assessment ratio</t>
        </is>
      </c>
      <c r="C27" s="21">
        <f>INDEX(Assumptions!$C$29:$E$29,$C$3)</f>
        <v/>
      </c>
    </row>
    <row r="28">
      <c r="A28" s="6" t="inlineStr">
        <is>
          <t>Mill rate</t>
        </is>
      </c>
      <c r="C28" s="8">
        <f>INDEX(Assumptions!$C$28:$E$28,$C$3)</f>
        <v/>
      </c>
    </row>
    <row r="29">
      <c r="A29" s="6" t="inlineStr">
        <is>
          <t>Assessor factor - improvements</t>
        </is>
      </c>
      <c r="C29" s="21">
        <f>INDEX(Assumptions!$C$31:$E$31,$C$3)</f>
        <v/>
      </c>
    </row>
    <row r="30">
      <c r="A30" s="6" t="inlineStr">
        <is>
          <t>Target loan to cost</t>
        </is>
      </c>
      <c r="C30" s="21">
        <f>INDEX(Assumptions!$C$58:$E$58,$C$3)</f>
        <v/>
      </c>
    </row>
    <row r="31">
      <c r="A31" s="6" t="inlineStr">
        <is>
          <t>Annual debt constant</t>
        </is>
      </c>
      <c r="C31" s="65">
        <f>INDEX(Debt_DSCR!$C$9:$E$9,$C$3)</f>
        <v/>
      </c>
    </row>
    <row r="32">
      <c r="A32" s="6" t="inlineStr">
        <is>
          <t>Soft + contingency markup on variable hard</t>
        </is>
      </c>
      <c r="C32" s="67">
        <f>$C$13/$C$12</f>
        <v/>
      </c>
    </row>
    <row r="33">
      <c r="A33" s="6" t="inlineStr">
        <is>
          <t>Base fixed all-in cost excluding land</t>
        </is>
      </c>
      <c r="C33" s="49">
        <f>$C$14-$C$15</f>
        <v/>
      </c>
    </row>
    <row r="34">
      <c r="A34" s="6" t="inlineStr">
        <is>
          <t>Share of non-land fixed cost that scales with site area</t>
        </is>
      </c>
      <c r="C34" s="32" t="n">
        <v>0.4</v>
      </c>
      <c r="E34" s="48" t="inlineStr">
        <is>
          <t>Stormwater, perimeter fence, entry work and mass E&amp;S scale with acreage; entitlement, gatehouse, gates, security head-end and design do not.</t>
        </is>
      </c>
    </row>
    <row r="35">
      <c r="A35" s="6" t="inlineStr">
        <is>
          <t xml:space="preserve">   Fixed cost - flat component ($)</t>
        </is>
      </c>
      <c r="C35" s="49">
        <f>$C$33*(1-$C$34)</f>
        <v/>
      </c>
    </row>
    <row r="36">
      <c r="A36" s="6" t="inlineStr">
        <is>
          <t xml:space="preserve">   Fixed cost - per gross acre ($)</t>
        </is>
      </c>
      <c r="C36" s="49">
        <f>$C$33*$C$34/$C$6</f>
        <v/>
      </c>
    </row>
    <row r="37">
      <c r="A37" s="9" t="inlineStr">
        <is>
          <t>Blended revenue per stall per month</t>
        </is>
      </c>
      <c r="C37" s="12">
        <f>INDEX(Revenue_NOI!$C$16:$E$16,$C$3)</f>
        <v/>
      </c>
      <c r="E37" s="48" t="inlineStr">
        <is>
          <t>Overwrite with a hardcoded rate to test a different pricing assumption across the whole grid.</t>
        </is>
      </c>
    </row>
    <row r="38">
      <c r="A38" s="6" t="inlineStr">
        <is>
          <t>Per-stall opex ($/stall/yr)</t>
        </is>
      </c>
      <c r="C38" s="49">
        <f>$C$16+$C$17+$C$18+$C$19+$C$20+$C$21</f>
        <v/>
      </c>
    </row>
    <row r="39">
      <c r="A39" s="6" t="inlineStr">
        <is>
          <t>Flat opex ($/yr)</t>
        </is>
      </c>
      <c r="C39" s="49">
        <f>$C$23+$C$24+$C$25</f>
        <v/>
      </c>
    </row>
    <row r="40">
      <c r="A40" s="6" t="inlineStr">
        <is>
          <t>Snow &amp; ice ($/paved SF/yr)</t>
        </is>
      </c>
      <c r="C40" s="79">
        <f>$C$22/43560</f>
        <v/>
      </c>
    </row>
    <row r="42">
      <c r="A42" s="5" t="inlineStr">
        <is>
          <t>GRID A  |  Stall count</t>
        </is>
      </c>
      <c r="B42" s="5" t="n"/>
      <c r="C42" s="5" t="n"/>
      <c r="D42" s="5" t="n"/>
      <c r="E42" s="5" t="n"/>
      <c r="F42" s="5" t="n"/>
      <c r="G42" s="5" t="n"/>
      <c r="H42" s="5" t="n"/>
      <c r="I42" s="5" t="n"/>
      <c r="J42" s="5" t="n"/>
    </row>
    <row r="43" ht="26" customHeight="1">
      <c r="A43" s="19" t="inlineStr">
        <is>
          <t>stalls = gross acres x 43,560 x net yard efficiency / paved SF per stall. Below about 1,200 SF per stall the layout needs blind-side backing or shared aisles - confirm against a real site plan before underwriting it.</t>
        </is>
      </c>
      <c r="C43" s="68" t="inlineStr">
        <is>
          <t>Paved SF per stall (density)  -&gt;</t>
        </is>
      </c>
    </row>
    <row r="44" ht="28" customHeight="1">
      <c r="B44" s="4" t="inlineStr">
        <is>
          <t>Gross acres</t>
        </is>
      </c>
      <c r="C44" s="80" t="n">
        <v>1650</v>
      </c>
      <c r="D44" s="80" t="n">
        <v>1500</v>
      </c>
      <c r="E44" s="80" t="n">
        <v>1400</v>
      </c>
      <c r="F44" s="80" t="n">
        <v>1300</v>
      </c>
      <c r="G44" s="80" t="n">
        <v>1200</v>
      </c>
      <c r="H44" s="80" t="n">
        <v>1100</v>
      </c>
    </row>
    <row r="45">
      <c r="B45" s="81" t="n">
        <v>4</v>
      </c>
      <c r="C45" s="82">
        <f>ROUNDDOWN($B45*43560*$C$7/C$44,0)</f>
        <v/>
      </c>
      <c r="D45" s="82">
        <f>ROUNDDOWN($B45*43560*$C$7/D$44,0)</f>
        <v/>
      </c>
      <c r="E45" s="82">
        <f>ROUNDDOWN($B45*43560*$C$7/E$44,0)</f>
        <v/>
      </c>
      <c r="F45" s="82">
        <f>ROUNDDOWN($B45*43560*$C$7/F$44,0)</f>
        <v/>
      </c>
      <c r="G45" s="82">
        <f>ROUNDDOWN($B45*43560*$C$7/G$44,0)</f>
        <v/>
      </c>
      <c r="H45" s="82">
        <f>ROUNDDOWN($B45*43560*$C$7/H$44,0)</f>
        <v/>
      </c>
    </row>
    <row r="46">
      <c r="B46" s="81" t="n">
        <v>6</v>
      </c>
      <c r="C46" s="82">
        <f>ROUNDDOWN($B46*43560*$C$7/C$44,0)</f>
        <v/>
      </c>
      <c r="D46" s="82">
        <f>ROUNDDOWN($B46*43560*$C$7/D$44,0)</f>
        <v/>
      </c>
      <c r="E46" s="82">
        <f>ROUNDDOWN($B46*43560*$C$7/E$44,0)</f>
        <v/>
      </c>
      <c r="F46" s="82">
        <f>ROUNDDOWN($B46*43560*$C$7/F$44,0)</f>
        <v/>
      </c>
      <c r="G46" s="82">
        <f>ROUNDDOWN($B46*43560*$C$7/G$44,0)</f>
        <v/>
      </c>
      <c r="H46" s="82">
        <f>ROUNDDOWN($B46*43560*$C$7/H$44,0)</f>
        <v/>
      </c>
    </row>
    <row r="47">
      <c r="B47" s="81" t="n">
        <v>8</v>
      </c>
      <c r="C47" s="82">
        <f>ROUNDDOWN($B47*43560*$C$7/C$44,0)</f>
        <v/>
      </c>
      <c r="D47" s="82">
        <f>ROUNDDOWN($B47*43560*$C$7/D$44,0)</f>
        <v/>
      </c>
      <c r="E47" s="82">
        <f>ROUNDDOWN($B47*43560*$C$7/E$44,0)</f>
        <v/>
      </c>
      <c r="F47" s="82">
        <f>ROUNDDOWN($B47*43560*$C$7/F$44,0)</f>
        <v/>
      </c>
      <c r="G47" s="82">
        <f>ROUNDDOWN($B47*43560*$C$7/G$44,0)</f>
        <v/>
      </c>
      <c r="H47" s="82">
        <f>ROUNDDOWN($B47*43560*$C$7/H$44,0)</f>
        <v/>
      </c>
    </row>
    <row r="48">
      <c r="B48" s="81" t="n">
        <v>10</v>
      </c>
      <c r="C48" s="82">
        <f>ROUNDDOWN($B48*43560*$C$7/C$44,0)</f>
        <v/>
      </c>
      <c r="D48" s="82">
        <f>ROUNDDOWN($B48*43560*$C$7/D$44,0)</f>
        <v/>
      </c>
      <c r="E48" s="82">
        <f>ROUNDDOWN($B48*43560*$C$7/E$44,0)</f>
        <v/>
      </c>
      <c r="F48" s="82">
        <f>ROUNDDOWN($B48*43560*$C$7/F$44,0)</f>
        <v/>
      </c>
      <c r="G48" s="82">
        <f>ROUNDDOWN($B48*43560*$C$7/G$44,0)</f>
        <v/>
      </c>
      <c r="H48" s="82">
        <f>ROUNDDOWN($B48*43560*$C$7/H$44,0)</f>
        <v/>
      </c>
    </row>
    <row r="49">
      <c r="B49" s="81" t="n">
        <v>12</v>
      </c>
      <c r="C49" s="82">
        <f>ROUNDDOWN($B49*43560*$C$7/C$44,0)</f>
        <v/>
      </c>
      <c r="D49" s="82">
        <f>ROUNDDOWN($B49*43560*$C$7/D$44,0)</f>
        <v/>
      </c>
      <c r="E49" s="82">
        <f>ROUNDDOWN($B49*43560*$C$7/E$44,0)</f>
        <v/>
      </c>
      <c r="F49" s="82">
        <f>ROUNDDOWN($B49*43560*$C$7/F$44,0)</f>
        <v/>
      </c>
      <c r="G49" s="82">
        <f>ROUNDDOWN($B49*43560*$C$7/G$44,0)</f>
        <v/>
      </c>
      <c r="H49" s="82">
        <f>ROUNDDOWN($B49*43560*$C$7/H$44,0)</f>
        <v/>
      </c>
    </row>
    <row r="50">
      <c r="B50" s="81" t="n">
        <v>14</v>
      </c>
      <c r="C50" s="82">
        <f>ROUNDDOWN($B50*43560*$C$7/C$44,0)</f>
        <v/>
      </c>
      <c r="D50" s="82">
        <f>ROUNDDOWN($B50*43560*$C$7/D$44,0)</f>
        <v/>
      </c>
      <c r="E50" s="82">
        <f>ROUNDDOWN($B50*43560*$C$7/E$44,0)</f>
        <v/>
      </c>
      <c r="F50" s="82">
        <f>ROUNDDOWN($B50*43560*$C$7/F$44,0)</f>
        <v/>
      </c>
      <c r="G50" s="82">
        <f>ROUNDDOWN($B50*43560*$C$7/G$44,0)</f>
        <v/>
      </c>
      <c r="H50" s="82">
        <f>ROUNDDOWN($B50*43560*$C$7/H$44,0)</f>
        <v/>
      </c>
    </row>
    <row r="51">
      <c r="B51" s="81" t="n">
        <v>18</v>
      </c>
      <c r="C51" s="82">
        <f>ROUNDDOWN($B51*43560*$C$7/C$44,0)</f>
        <v/>
      </c>
      <c r="D51" s="82">
        <f>ROUNDDOWN($B51*43560*$C$7/D$44,0)</f>
        <v/>
      </c>
      <c r="E51" s="82">
        <f>ROUNDDOWN($B51*43560*$C$7/E$44,0)</f>
        <v/>
      </c>
      <c r="F51" s="82">
        <f>ROUNDDOWN($B51*43560*$C$7/F$44,0)</f>
        <v/>
      </c>
      <c r="G51" s="82">
        <f>ROUNDDOWN($B51*43560*$C$7/G$44,0)</f>
        <v/>
      </c>
      <c r="H51" s="82">
        <f>ROUNDDOWN($B51*43560*$C$7/H$44,0)</f>
        <v/>
      </c>
    </row>
    <row r="52">
      <c r="B52" s="81" t="n">
        <v>24</v>
      </c>
      <c r="C52" s="82">
        <f>ROUNDDOWN($B52*43560*$C$7/C$44,0)</f>
        <v/>
      </c>
      <c r="D52" s="82">
        <f>ROUNDDOWN($B52*43560*$C$7/D$44,0)</f>
        <v/>
      </c>
      <c r="E52" s="82">
        <f>ROUNDDOWN($B52*43560*$C$7/E$44,0)</f>
        <v/>
      </c>
      <c r="F52" s="82">
        <f>ROUNDDOWN($B52*43560*$C$7/F$44,0)</f>
        <v/>
      </c>
      <c r="G52" s="82">
        <f>ROUNDDOWN($B52*43560*$C$7/G$44,0)</f>
        <v/>
      </c>
      <c r="H52" s="82">
        <f>ROUNDDOWN($B52*43560*$C$7/H$44,0)</f>
        <v/>
      </c>
    </row>
    <row r="53">
      <c r="B53" s="81" t="n">
        <v>30</v>
      </c>
      <c r="C53" s="82">
        <f>ROUNDDOWN($B53*43560*$C$7/C$44,0)</f>
        <v/>
      </c>
      <c r="D53" s="82">
        <f>ROUNDDOWN($B53*43560*$C$7/D$44,0)</f>
        <v/>
      </c>
      <c r="E53" s="82">
        <f>ROUNDDOWN($B53*43560*$C$7/E$44,0)</f>
        <v/>
      </c>
      <c r="F53" s="82">
        <f>ROUNDDOWN($B53*43560*$C$7/F$44,0)</f>
        <v/>
      </c>
      <c r="G53" s="82">
        <f>ROUNDDOWN($B53*43560*$C$7/G$44,0)</f>
        <v/>
      </c>
      <c r="H53" s="82">
        <f>ROUNDDOWN($B53*43560*$C$7/H$44,0)</f>
        <v/>
      </c>
    </row>
    <row r="56">
      <c r="A56" s="5" t="inlineStr">
        <is>
          <t>GRID B  |  All-in cost per stall</t>
        </is>
      </c>
      <c r="B56" s="5" t="n"/>
      <c r="C56" s="5" t="n"/>
      <c r="D56" s="5" t="n"/>
      <c r="E56" s="5" t="n"/>
      <c r="F56" s="5" t="n"/>
      <c r="G56" s="5" t="n"/>
      <c r="H56" s="5" t="n"/>
      <c r="I56" s="5" t="n"/>
      <c r="J56" s="5" t="n"/>
    </row>
    <row r="57" ht="26" customHeight="1">
      <c r="A57" s="19" t="inlineStr">
        <is>
          <t>Land and the acreage-scaled share of fixed cost, spread over the stall count from Grid A. Variable cost per stall is exact.</t>
        </is>
      </c>
      <c r="C57" s="68" t="inlineStr">
        <is>
          <t>Paved SF per stall (density)  -&gt;</t>
        </is>
      </c>
    </row>
    <row r="58" ht="28" customHeight="1">
      <c r="B58" s="4" t="inlineStr">
        <is>
          <t>Gross acres</t>
        </is>
      </c>
      <c r="C58" s="80" t="n">
        <v>1650</v>
      </c>
      <c r="D58" s="80" t="n">
        <v>1500</v>
      </c>
      <c r="E58" s="80" t="n">
        <v>1400</v>
      </c>
      <c r="F58" s="80" t="n">
        <v>1300</v>
      </c>
      <c r="G58" s="80" t="n">
        <v>1200</v>
      </c>
      <c r="H58" s="80" t="n">
        <v>1100</v>
      </c>
    </row>
    <row r="59">
      <c r="B59" s="81" t="n">
        <v>4</v>
      </c>
      <c r="C59" s="73">
        <f>IF(C45=0,0,($B59*$C$8*(1+$C$9)+$C$35+$C$36*$B59)/C45+(C$58*$C$10+$C$11)*$C$32)</f>
        <v/>
      </c>
      <c r="D59" s="73">
        <f>IF(D45=0,0,($B59*$C$8*(1+$C$9)+$C$35+$C$36*$B59)/D45+(D$58*$C$10+$C$11)*$C$32)</f>
        <v/>
      </c>
      <c r="E59" s="73">
        <f>IF(E45=0,0,($B59*$C$8*(1+$C$9)+$C$35+$C$36*$B59)/E45+(E$58*$C$10+$C$11)*$C$32)</f>
        <v/>
      </c>
      <c r="F59" s="73">
        <f>IF(F45=0,0,($B59*$C$8*(1+$C$9)+$C$35+$C$36*$B59)/F45+(F$58*$C$10+$C$11)*$C$32)</f>
        <v/>
      </c>
      <c r="G59" s="73">
        <f>IF(G45=0,0,($B59*$C$8*(1+$C$9)+$C$35+$C$36*$B59)/G45+(G$58*$C$10+$C$11)*$C$32)</f>
        <v/>
      </c>
      <c r="H59" s="73">
        <f>IF(H45=0,0,($B59*$C$8*(1+$C$9)+$C$35+$C$36*$B59)/H45+(H$58*$C$10+$C$11)*$C$32)</f>
        <v/>
      </c>
    </row>
    <row r="60">
      <c r="B60" s="81" t="n">
        <v>6</v>
      </c>
      <c r="C60" s="73">
        <f>IF(C46=0,0,($B60*$C$8*(1+$C$9)+$C$35+$C$36*$B60)/C46+(C$58*$C$10+$C$11)*$C$32)</f>
        <v/>
      </c>
      <c r="D60" s="73">
        <f>IF(D46=0,0,($B60*$C$8*(1+$C$9)+$C$35+$C$36*$B60)/D46+(D$58*$C$10+$C$11)*$C$32)</f>
        <v/>
      </c>
      <c r="E60" s="73">
        <f>IF(E46=0,0,($B60*$C$8*(1+$C$9)+$C$35+$C$36*$B60)/E46+(E$58*$C$10+$C$11)*$C$32)</f>
        <v/>
      </c>
      <c r="F60" s="73">
        <f>IF(F46=0,0,($B60*$C$8*(1+$C$9)+$C$35+$C$36*$B60)/F46+(F$58*$C$10+$C$11)*$C$32)</f>
        <v/>
      </c>
      <c r="G60" s="73">
        <f>IF(G46=0,0,($B60*$C$8*(1+$C$9)+$C$35+$C$36*$B60)/G46+(G$58*$C$10+$C$11)*$C$32)</f>
        <v/>
      </c>
      <c r="H60" s="73">
        <f>IF(H46=0,0,($B60*$C$8*(1+$C$9)+$C$35+$C$36*$B60)/H46+(H$58*$C$10+$C$11)*$C$32)</f>
        <v/>
      </c>
    </row>
    <row r="61">
      <c r="B61" s="81" t="n">
        <v>8</v>
      </c>
      <c r="C61" s="73">
        <f>IF(C47=0,0,($B61*$C$8*(1+$C$9)+$C$35+$C$36*$B61)/C47+(C$58*$C$10+$C$11)*$C$32)</f>
        <v/>
      </c>
      <c r="D61" s="73">
        <f>IF(D47=0,0,($B61*$C$8*(1+$C$9)+$C$35+$C$36*$B61)/D47+(D$58*$C$10+$C$11)*$C$32)</f>
        <v/>
      </c>
      <c r="E61" s="73">
        <f>IF(E47=0,0,($B61*$C$8*(1+$C$9)+$C$35+$C$36*$B61)/E47+(E$58*$C$10+$C$11)*$C$32)</f>
        <v/>
      </c>
      <c r="F61" s="73">
        <f>IF(F47=0,0,($B61*$C$8*(1+$C$9)+$C$35+$C$36*$B61)/F47+(F$58*$C$10+$C$11)*$C$32)</f>
        <v/>
      </c>
      <c r="G61" s="73">
        <f>IF(G47=0,0,($B61*$C$8*(1+$C$9)+$C$35+$C$36*$B61)/G47+(G$58*$C$10+$C$11)*$C$32)</f>
        <v/>
      </c>
      <c r="H61" s="73">
        <f>IF(H47=0,0,($B61*$C$8*(1+$C$9)+$C$35+$C$36*$B61)/H47+(H$58*$C$10+$C$11)*$C$32)</f>
        <v/>
      </c>
    </row>
    <row r="62">
      <c r="B62" s="81" t="n">
        <v>10</v>
      </c>
      <c r="C62" s="73">
        <f>IF(C48=0,0,($B62*$C$8*(1+$C$9)+$C$35+$C$36*$B62)/C48+(C$58*$C$10+$C$11)*$C$32)</f>
        <v/>
      </c>
      <c r="D62" s="73">
        <f>IF(D48=0,0,($B62*$C$8*(1+$C$9)+$C$35+$C$36*$B62)/D48+(D$58*$C$10+$C$11)*$C$32)</f>
        <v/>
      </c>
      <c r="E62" s="73">
        <f>IF(E48=0,0,($B62*$C$8*(1+$C$9)+$C$35+$C$36*$B62)/E48+(E$58*$C$10+$C$11)*$C$32)</f>
        <v/>
      </c>
      <c r="F62" s="73">
        <f>IF(F48=0,0,($B62*$C$8*(1+$C$9)+$C$35+$C$36*$B62)/F48+(F$58*$C$10+$C$11)*$C$32)</f>
        <v/>
      </c>
      <c r="G62" s="73">
        <f>IF(G48=0,0,($B62*$C$8*(1+$C$9)+$C$35+$C$36*$B62)/G48+(G$58*$C$10+$C$11)*$C$32)</f>
        <v/>
      </c>
      <c r="H62" s="73">
        <f>IF(H48=0,0,($B62*$C$8*(1+$C$9)+$C$35+$C$36*$B62)/H48+(H$58*$C$10+$C$11)*$C$32)</f>
        <v/>
      </c>
    </row>
    <row r="63">
      <c r="B63" s="81" t="n">
        <v>12</v>
      </c>
      <c r="C63" s="73">
        <f>IF(C49=0,0,($B63*$C$8*(1+$C$9)+$C$35+$C$36*$B63)/C49+(C$58*$C$10+$C$11)*$C$32)</f>
        <v/>
      </c>
      <c r="D63" s="73">
        <f>IF(D49=0,0,($B63*$C$8*(1+$C$9)+$C$35+$C$36*$B63)/D49+(D$58*$C$10+$C$11)*$C$32)</f>
        <v/>
      </c>
      <c r="E63" s="73">
        <f>IF(E49=0,0,($B63*$C$8*(1+$C$9)+$C$35+$C$36*$B63)/E49+(E$58*$C$10+$C$11)*$C$32)</f>
        <v/>
      </c>
      <c r="F63" s="73">
        <f>IF(F49=0,0,($B63*$C$8*(1+$C$9)+$C$35+$C$36*$B63)/F49+(F$58*$C$10+$C$11)*$C$32)</f>
        <v/>
      </c>
      <c r="G63" s="73">
        <f>IF(G49=0,0,($B63*$C$8*(1+$C$9)+$C$35+$C$36*$B63)/G49+(G$58*$C$10+$C$11)*$C$32)</f>
        <v/>
      </c>
      <c r="H63" s="73">
        <f>IF(H49=0,0,($B63*$C$8*(1+$C$9)+$C$35+$C$36*$B63)/H49+(H$58*$C$10+$C$11)*$C$32)</f>
        <v/>
      </c>
    </row>
    <row r="64">
      <c r="B64" s="81" t="n">
        <v>14</v>
      </c>
      <c r="C64" s="73">
        <f>IF(C50=0,0,($B64*$C$8*(1+$C$9)+$C$35+$C$36*$B64)/C50+(C$58*$C$10+$C$11)*$C$32)</f>
        <v/>
      </c>
      <c r="D64" s="73">
        <f>IF(D50=0,0,($B64*$C$8*(1+$C$9)+$C$35+$C$36*$B64)/D50+(D$58*$C$10+$C$11)*$C$32)</f>
        <v/>
      </c>
      <c r="E64" s="73">
        <f>IF(E50=0,0,($B64*$C$8*(1+$C$9)+$C$35+$C$36*$B64)/E50+(E$58*$C$10+$C$11)*$C$32)</f>
        <v/>
      </c>
      <c r="F64" s="73">
        <f>IF(F50=0,0,($B64*$C$8*(1+$C$9)+$C$35+$C$36*$B64)/F50+(F$58*$C$10+$C$11)*$C$32)</f>
        <v/>
      </c>
      <c r="G64" s="73">
        <f>IF(G50=0,0,($B64*$C$8*(1+$C$9)+$C$35+$C$36*$B64)/G50+(G$58*$C$10+$C$11)*$C$32)</f>
        <v/>
      </c>
      <c r="H64" s="73">
        <f>IF(H50=0,0,($B64*$C$8*(1+$C$9)+$C$35+$C$36*$B64)/H50+(H$58*$C$10+$C$11)*$C$32)</f>
        <v/>
      </c>
    </row>
    <row r="65">
      <c r="B65" s="81" t="n">
        <v>18</v>
      </c>
      <c r="C65" s="73">
        <f>IF(C51=0,0,($B65*$C$8*(1+$C$9)+$C$35+$C$36*$B65)/C51+(C$58*$C$10+$C$11)*$C$32)</f>
        <v/>
      </c>
      <c r="D65" s="73">
        <f>IF(D51=0,0,($B65*$C$8*(1+$C$9)+$C$35+$C$36*$B65)/D51+(D$58*$C$10+$C$11)*$C$32)</f>
        <v/>
      </c>
      <c r="E65" s="73">
        <f>IF(E51=0,0,($B65*$C$8*(1+$C$9)+$C$35+$C$36*$B65)/E51+(E$58*$C$10+$C$11)*$C$32)</f>
        <v/>
      </c>
      <c r="F65" s="73">
        <f>IF(F51=0,0,($B65*$C$8*(1+$C$9)+$C$35+$C$36*$B65)/F51+(F$58*$C$10+$C$11)*$C$32)</f>
        <v/>
      </c>
      <c r="G65" s="73">
        <f>IF(G51=0,0,($B65*$C$8*(1+$C$9)+$C$35+$C$36*$B65)/G51+(G$58*$C$10+$C$11)*$C$32)</f>
        <v/>
      </c>
      <c r="H65" s="73">
        <f>IF(H51=0,0,($B65*$C$8*(1+$C$9)+$C$35+$C$36*$B65)/H51+(H$58*$C$10+$C$11)*$C$32)</f>
        <v/>
      </c>
    </row>
    <row r="66">
      <c r="B66" s="81" t="n">
        <v>24</v>
      </c>
      <c r="C66" s="73">
        <f>IF(C52=0,0,($B66*$C$8*(1+$C$9)+$C$35+$C$36*$B66)/C52+(C$58*$C$10+$C$11)*$C$32)</f>
        <v/>
      </c>
      <c r="D66" s="73">
        <f>IF(D52=0,0,($B66*$C$8*(1+$C$9)+$C$35+$C$36*$B66)/D52+(D$58*$C$10+$C$11)*$C$32)</f>
        <v/>
      </c>
      <c r="E66" s="73">
        <f>IF(E52=0,0,($B66*$C$8*(1+$C$9)+$C$35+$C$36*$B66)/E52+(E$58*$C$10+$C$11)*$C$32)</f>
        <v/>
      </c>
      <c r="F66" s="73">
        <f>IF(F52=0,0,($B66*$C$8*(1+$C$9)+$C$35+$C$36*$B66)/F52+(F$58*$C$10+$C$11)*$C$32)</f>
        <v/>
      </c>
      <c r="G66" s="73">
        <f>IF(G52=0,0,($B66*$C$8*(1+$C$9)+$C$35+$C$36*$B66)/G52+(G$58*$C$10+$C$11)*$C$32)</f>
        <v/>
      </c>
      <c r="H66" s="73">
        <f>IF(H52=0,0,($B66*$C$8*(1+$C$9)+$C$35+$C$36*$B66)/H52+(H$58*$C$10+$C$11)*$C$32)</f>
        <v/>
      </c>
    </row>
    <row r="67">
      <c r="B67" s="81" t="n">
        <v>30</v>
      </c>
      <c r="C67" s="73">
        <f>IF(C53=0,0,($B67*$C$8*(1+$C$9)+$C$35+$C$36*$B67)/C53+(C$58*$C$10+$C$11)*$C$32)</f>
        <v/>
      </c>
      <c r="D67" s="73">
        <f>IF(D53=0,0,($B67*$C$8*(1+$C$9)+$C$35+$C$36*$B67)/D53+(D$58*$C$10+$C$11)*$C$32)</f>
        <v/>
      </c>
      <c r="E67" s="73">
        <f>IF(E53=0,0,($B67*$C$8*(1+$C$9)+$C$35+$C$36*$B67)/E53+(E$58*$C$10+$C$11)*$C$32)</f>
        <v/>
      </c>
      <c r="F67" s="73">
        <f>IF(F53=0,0,($B67*$C$8*(1+$C$9)+$C$35+$C$36*$B67)/F53+(F$58*$C$10+$C$11)*$C$32)</f>
        <v/>
      </c>
      <c r="G67" s="73">
        <f>IF(G53=0,0,($B67*$C$8*(1+$C$9)+$C$35+$C$36*$B67)/G53+(G$58*$C$10+$C$11)*$C$32)</f>
        <v/>
      </c>
      <c r="H67" s="73">
        <f>IF(H53=0,0,($B67*$C$8*(1+$C$9)+$C$35+$C$36*$B67)/H53+(H$58*$C$10+$C$11)*$C$32)</f>
        <v/>
      </c>
    </row>
    <row r="70">
      <c r="A70" s="5" t="inlineStr">
        <is>
          <t>GRID C  |  Stabilized NOI</t>
        </is>
      </c>
      <c r="B70" s="5" t="n"/>
      <c r="C70" s="5" t="n"/>
      <c r="D70" s="5" t="n"/>
      <c r="E70" s="5" t="n"/>
      <c r="F70" s="5" t="n"/>
      <c r="G70" s="5" t="n"/>
      <c r="H70" s="5" t="n"/>
      <c r="I70" s="5" t="n"/>
      <c r="J70" s="5" t="n"/>
    </row>
    <row r="71" ht="26" customHeight="1">
      <c r="A71" s="19" t="inlineStr">
        <is>
          <t>Revenue = blended $/stall/month x stalls x 12, net of revenue-linked opex. Costs = per-stall opex + snow per paved SF + flat opex + property tax computed on this grid's own cost basis.</t>
        </is>
      </c>
      <c r="C71" s="68" t="inlineStr">
        <is>
          <t>Paved SF per stall (density)  -&gt;</t>
        </is>
      </c>
    </row>
    <row r="72" ht="28" customHeight="1">
      <c r="B72" s="4" t="inlineStr">
        <is>
          <t>Gross acres</t>
        </is>
      </c>
      <c r="C72" s="80" t="n">
        <v>1650</v>
      </c>
      <c r="D72" s="80" t="n">
        <v>1500</v>
      </c>
      <c r="E72" s="80" t="n">
        <v>1400</v>
      </c>
      <c r="F72" s="80" t="n">
        <v>1300</v>
      </c>
      <c r="G72" s="80" t="n">
        <v>1200</v>
      </c>
      <c r="H72" s="80" t="n">
        <v>1100</v>
      </c>
    </row>
    <row r="73">
      <c r="B73" s="81" t="n">
        <v>4</v>
      </c>
      <c r="C73" s="73">
        <f>C45*$C$37*12*(1-$C$26)-C45*$C$38-C45*C$72*$C$40-$C$39-(($B73*$C$8+(C59*C45-$B73*$C$8*(1+$C$9))*$C$29)*$C$27*$C$28/1000)</f>
        <v/>
      </c>
      <c r="D73" s="73">
        <f>D45*$C$37*12*(1-$C$26)-D45*$C$38-D45*D$72*$C$40-$C$39-(($B73*$C$8+(D59*D45-$B73*$C$8*(1+$C$9))*$C$29)*$C$27*$C$28/1000)</f>
        <v/>
      </c>
      <c r="E73" s="73">
        <f>E45*$C$37*12*(1-$C$26)-E45*$C$38-E45*E$72*$C$40-$C$39-(($B73*$C$8+(E59*E45-$B73*$C$8*(1+$C$9))*$C$29)*$C$27*$C$28/1000)</f>
        <v/>
      </c>
      <c r="F73" s="73">
        <f>F45*$C$37*12*(1-$C$26)-F45*$C$38-F45*F$72*$C$40-$C$39-(($B73*$C$8+(F59*F45-$B73*$C$8*(1+$C$9))*$C$29)*$C$27*$C$28/1000)</f>
        <v/>
      </c>
      <c r="G73" s="73">
        <f>G45*$C$37*12*(1-$C$26)-G45*$C$38-G45*G$72*$C$40-$C$39-(($B73*$C$8+(G59*G45-$B73*$C$8*(1+$C$9))*$C$29)*$C$27*$C$28/1000)</f>
        <v/>
      </c>
      <c r="H73" s="73">
        <f>H45*$C$37*12*(1-$C$26)-H45*$C$38-H45*H$72*$C$40-$C$39-(($B73*$C$8+(H59*H45-$B73*$C$8*(1+$C$9))*$C$29)*$C$27*$C$28/1000)</f>
        <v/>
      </c>
    </row>
    <row r="74">
      <c r="B74" s="81" t="n">
        <v>6</v>
      </c>
      <c r="C74" s="73">
        <f>C46*$C$37*12*(1-$C$26)-C46*$C$38-C46*C$72*$C$40-$C$39-(($B74*$C$8+(C60*C46-$B74*$C$8*(1+$C$9))*$C$29)*$C$27*$C$28/1000)</f>
        <v/>
      </c>
      <c r="D74" s="73">
        <f>D46*$C$37*12*(1-$C$26)-D46*$C$38-D46*D$72*$C$40-$C$39-(($B74*$C$8+(D60*D46-$B74*$C$8*(1+$C$9))*$C$29)*$C$27*$C$28/1000)</f>
        <v/>
      </c>
      <c r="E74" s="73">
        <f>E46*$C$37*12*(1-$C$26)-E46*$C$38-E46*E$72*$C$40-$C$39-(($B74*$C$8+(E60*E46-$B74*$C$8*(1+$C$9))*$C$29)*$C$27*$C$28/1000)</f>
        <v/>
      </c>
      <c r="F74" s="73">
        <f>F46*$C$37*12*(1-$C$26)-F46*$C$38-F46*F$72*$C$40-$C$39-(($B74*$C$8+(F60*F46-$B74*$C$8*(1+$C$9))*$C$29)*$C$27*$C$28/1000)</f>
        <v/>
      </c>
      <c r="G74" s="73">
        <f>G46*$C$37*12*(1-$C$26)-G46*$C$38-G46*G$72*$C$40-$C$39-(($B74*$C$8+(G60*G46-$B74*$C$8*(1+$C$9))*$C$29)*$C$27*$C$28/1000)</f>
        <v/>
      </c>
      <c r="H74" s="73">
        <f>H46*$C$37*12*(1-$C$26)-H46*$C$38-H46*H$72*$C$40-$C$39-(($B74*$C$8+(H60*H46-$B74*$C$8*(1+$C$9))*$C$29)*$C$27*$C$28/1000)</f>
        <v/>
      </c>
    </row>
    <row r="75">
      <c r="B75" s="81" t="n">
        <v>8</v>
      </c>
      <c r="C75" s="73">
        <f>C47*$C$37*12*(1-$C$26)-C47*$C$38-C47*C$72*$C$40-$C$39-(($B75*$C$8+(C61*C47-$B75*$C$8*(1+$C$9))*$C$29)*$C$27*$C$28/1000)</f>
        <v/>
      </c>
      <c r="D75" s="73">
        <f>D47*$C$37*12*(1-$C$26)-D47*$C$38-D47*D$72*$C$40-$C$39-(($B75*$C$8+(D61*D47-$B75*$C$8*(1+$C$9))*$C$29)*$C$27*$C$28/1000)</f>
        <v/>
      </c>
      <c r="E75" s="73">
        <f>E47*$C$37*12*(1-$C$26)-E47*$C$38-E47*E$72*$C$40-$C$39-(($B75*$C$8+(E61*E47-$B75*$C$8*(1+$C$9))*$C$29)*$C$27*$C$28/1000)</f>
        <v/>
      </c>
      <c r="F75" s="73">
        <f>F47*$C$37*12*(1-$C$26)-F47*$C$38-F47*F$72*$C$40-$C$39-(($B75*$C$8+(F61*F47-$B75*$C$8*(1+$C$9))*$C$29)*$C$27*$C$28/1000)</f>
        <v/>
      </c>
      <c r="G75" s="73">
        <f>G47*$C$37*12*(1-$C$26)-G47*$C$38-G47*G$72*$C$40-$C$39-(($B75*$C$8+(G61*G47-$B75*$C$8*(1+$C$9))*$C$29)*$C$27*$C$28/1000)</f>
        <v/>
      </c>
      <c r="H75" s="73">
        <f>H47*$C$37*12*(1-$C$26)-H47*$C$38-H47*H$72*$C$40-$C$39-(($B75*$C$8+(H61*H47-$B75*$C$8*(1+$C$9))*$C$29)*$C$27*$C$28/1000)</f>
        <v/>
      </c>
    </row>
    <row r="76">
      <c r="B76" s="81" t="n">
        <v>10</v>
      </c>
      <c r="C76" s="73">
        <f>C48*$C$37*12*(1-$C$26)-C48*$C$38-C48*C$72*$C$40-$C$39-(($B76*$C$8+(C62*C48-$B76*$C$8*(1+$C$9))*$C$29)*$C$27*$C$28/1000)</f>
        <v/>
      </c>
      <c r="D76" s="73">
        <f>D48*$C$37*12*(1-$C$26)-D48*$C$38-D48*D$72*$C$40-$C$39-(($B76*$C$8+(D62*D48-$B76*$C$8*(1+$C$9))*$C$29)*$C$27*$C$28/1000)</f>
        <v/>
      </c>
      <c r="E76" s="73">
        <f>E48*$C$37*12*(1-$C$26)-E48*$C$38-E48*E$72*$C$40-$C$39-(($B76*$C$8+(E62*E48-$B76*$C$8*(1+$C$9))*$C$29)*$C$27*$C$28/1000)</f>
        <v/>
      </c>
      <c r="F76" s="73">
        <f>F48*$C$37*12*(1-$C$26)-F48*$C$38-F48*F$72*$C$40-$C$39-(($B76*$C$8+(F62*F48-$B76*$C$8*(1+$C$9))*$C$29)*$C$27*$C$28/1000)</f>
        <v/>
      </c>
      <c r="G76" s="73">
        <f>G48*$C$37*12*(1-$C$26)-G48*$C$38-G48*G$72*$C$40-$C$39-(($B76*$C$8+(G62*G48-$B76*$C$8*(1+$C$9))*$C$29)*$C$27*$C$28/1000)</f>
        <v/>
      </c>
      <c r="H76" s="73">
        <f>H48*$C$37*12*(1-$C$26)-H48*$C$38-H48*H$72*$C$40-$C$39-(($B76*$C$8+(H62*H48-$B76*$C$8*(1+$C$9))*$C$29)*$C$27*$C$28/1000)</f>
        <v/>
      </c>
    </row>
    <row r="77">
      <c r="B77" s="81" t="n">
        <v>12</v>
      </c>
      <c r="C77" s="73">
        <f>C49*$C$37*12*(1-$C$26)-C49*$C$38-C49*C$72*$C$40-$C$39-(($B77*$C$8+(C63*C49-$B77*$C$8*(1+$C$9))*$C$29)*$C$27*$C$28/1000)</f>
        <v/>
      </c>
      <c r="D77" s="73">
        <f>D49*$C$37*12*(1-$C$26)-D49*$C$38-D49*D$72*$C$40-$C$39-(($B77*$C$8+(D63*D49-$B77*$C$8*(1+$C$9))*$C$29)*$C$27*$C$28/1000)</f>
        <v/>
      </c>
      <c r="E77" s="73">
        <f>E49*$C$37*12*(1-$C$26)-E49*$C$38-E49*E$72*$C$40-$C$39-(($B77*$C$8+(E63*E49-$B77*$C$8*(1+$C$9))*$C$29)*$C$27*$C$28/1000)</f>
        <v/>
      </c>
      <c r="F77" s="73">
        <f>F49*$C$37*12*(1-$C$26)-F49*$C$38-F49*F$72*$C$40-$C$39-(($B77*$C$8+(F63*F49-$B77*$C$8*(1+$C$9))*$C$29)*$C$27*$C$28/1000)</f>
        <v/>
      </c>
      <c r="G77" s="73">
        <f>G49*$C$37*12*(1-$C$26)-G49*$C$38-G49*G$72*$C$40-$C$39-(($B77*$C$8+(G63*G49-$B77*$C$8*(1+$C$9))*$C$29)*$C$27*$C$28/1000)</f>
        <v/>
      </c>
      <c r="H77" s="73">
        <f>H49*$C$37*12*(1-$C$26)-H49*$C$38-H49*H$72*$C$40-$C$39-(($B77*$C$8+(H63*H49-$B77*$C$8*(1+$C$9))*$C$29)*$C$27*$C$28/1000)</f>
        <v/>
      </c>
    </row>
    <row r="78">
      <c r="B78" s="81" t="n">
        <v>14</v>
      </c>
      <c r="C78" s="73">
        <f>C50*$C$37*12*(1-$C$26)-C50*$C$38-C50*C$72*$C$40-$C$39-(($B78*$C$8+(C64*C50-$B78*$C$8*(1+$C$9))*$C$29)*$C$27*$C$28/1000)</f>
        <v/>
      </c>
      <c r="D78" s="73">
        <f>D50*$C$37*12*(1-$C$26)-D50*$C$38-D50*D$72*$C$40-$C$39-(($B78*$C$8+(D64*D50-$B78*$C$8*(1+$C$9))*$C$29)*$C$27*$C$28/1000)</f>
        <v/>
      </c>
      <c r="E78" s="73">
        <f>E50*$C$37*12*(1-$C$26)-E50*$C$38-E50*E$72*$C$40-$C$39-(($B78*$C$8+(E64*E50-$B78*$C$8*(1+$C$9))*$C$29)*$C$27*$C$28/1000)</f>
        <v/>
      </c>
      <c r="F78" s="73">
        <f>F50*$C$37*12*(1-$C$26)-F50*$C$38-F50*F$72*$C$40-$C$39-(($B78*$C$8+(F64*F50-$B78*$C$8*(1+$C$9))*$C$29)*$C$27*$C$28/1000)</f>
        <v/>
      </c>
      <c r="G78" s="73">
        <f>G50*$C$37*12*(1-$C$26)-G50*$C$38-G50*G$72*$C$40-$C$39-(($B78*$C$8+(G64*G50-$B78*$C$8*(1+$C$9))*$C$29)*$C$27*$C$28/1000)</f>
        <v/>
      </c>
      <c r="H78" s="73">
        <f>H50*$C$37*12*(1-$C$26)-H50*$C$38-H50*H$72*$C$40-$C$39-(($B78*$C$8+(H64*H50-$B78*$C$8*(1+$C$9))*$C$29)*$C$27*$C$28/1000)</f>
        <v/>
      </c>
    </row>
    <row r="79">
      <c r="B79" s="81" t="n">
        <v>18</v>
      </c>
      <c r="C79" s="73">
        <f>C51*$C$37*12*(1-$C$26)-C51*$C$38-C51*C$72*$C$40-$C$39-(($B79*$C$8+(C65*C51-$B79*$C$8*(1+$C$9))*$C$29)*$C$27*$C$28/1000)</f>
        <v/>
      </c>
      <c r="D79" s="73">
        <f>D51*$C$37*12*(1-$C$26)-D51*$C$38-D51*D$72*$C$40-$C$39-(($B79*$C$8+(D65*D51-$B79*$C$8*(1+$C$9))*$C$29)*$C$27*$C$28/1000)</f>
        <v/>
      </c>
      <c r="E79" s="73">
        <f>E51*$C$37*12*(1-$C$26)-E51*$C$38-E51*E$72*$C$40-$C$39-(($B79*$C$8+(E65*E51-$B79*$C$8*(1+$C$9))*$C$29)*$C$27*$C$28/1000)</f>
        <v/>
      </c>
      <c r="F79" s="73">
        <f>F51*$C$37*12*(1-$C$26)-F51*$C$38-F51*F$72*$C$40-$C$39-(($B79*$C$8+(F65*F51-$B79*$C$8*(1+$C$9))*$C$29)*$C$27*$C$28/1000)</f>
        <v/>
      </c>
      <c r="G79" s="73">
        <f>G51*$C$37*12*(1-$C$26)-G51*$C$38-G51*G$72*$C$40-$C$39-(($B79*$C$8+(G65*G51-$B79*$C$8*(1+$C$9))*$C$29)*$C$27*$C$28/1000)</f>
        <v/>
      </c>
      <c r="H79" s="73">
        <f>H51*$C$37*12*(1-$C$26)-H51*$C$38-H51*H$72*$C$40-$C$39-(($B79*$C$8+(H65*H51-$B79*$C$8*(1+$C$9))*$C$29)*$C$27*$C$28/1000)</f>
        <v/>
      </c>
    </row>
    <row r="80">
      <c r="B80" s="81" t="n">
        <v>24</v>
      </c>
      <c r="C80" s="73">
        <f>C52*$C$37*12*(1-$C$26)-C52*$C$38-C52*C$72*$C$40-$C$39-(($B80*$C$8+(C66*C52-$B80*$C$8*(1+$C$9))*$C$29)*$C$27*$C$28/1000)</f>
        <v/>
      </c>
      <c r="D80" s="73">
        <f>D52*$C$37*12*(1-$C$26)-D52*$C$38-D52*D$72*$C$40-$C$39-(($B80*$C$8+(D66*D52-$B80*$C$8*(1+$C$9))*$C$29)*$C$27*$C$28/1000)</f>
        <v/>
      </c>
      <c r="E80" s="73">
        <f>E52*$C$37*12*(1-$C$26)-E52*$C$38-E52*E$72*$C$40-$C$39-(($B80*$C$8+(E66*E52-$B80*$C$8*(1+$C$9))*$C$29)*$C$27*$C$28/1000)</f>
        <v/>
      </c>
      <c r="F80" s="73">
        <f>F52*$C$37*12*(1-$C$26)-F52*$C$38-F52*F$72*$C$40-$C$39-(($B80*$C$8+(F66*F52-$B80*$C$8*(1+$C$9))*$C$29)*$C$27*$C$28/1000)</f>
        <v/>
      </c>
      <c r="G80" s="73">
        <f>G52*$C$37*12*(1-$C$26)-G52*$C$38-G52*G$72*$C$40-$C$39-(($B80*$C$8+(G66*G52-$B80*$C$8*(1+$C$9))*$C$29)*$C$27*$C$28/1000)</f>
        <v/>
      </c>
      <c r="H80" s="73">
        <f>H52*$C$37*12*(1-$C$26)-H52*$C$38-H52*H$72*$C$40-$C$39-(($B80*$C$8+(H66*H52-$B80*$C$8*(1+$C$9))*$C$29)*$C$27*$C$28/1000)</f>
        <v/>
      </c>
    </row>
    <row r="81">
      <c r="B81" s="81" t="n">
        <v>30</v>
      </c>
      <c r="C81" s="73">
        <f>C53*$C$37*12*(1-$C$26)-C53*$C$38-C53*C$72*$C$40-$C$39-(($B81*$C$8+(C67*C53-$B81*$C$8*(1+$C$9))*$C$29)*$C$27*$C$28/1000)</f>
        <v/>
      </c>
      <c r="D81" s="73">
        <f>D53*$C$37*12*(1-$C$26)-D53*$C$38-D53*D$72*$C$40-$C$39-(($B81*$C$8+(D67*D53-$B81*$C$8*(1+$C$9))*$C$29)*$C$27*$C$28/1000)</f>
        <v/>
      </c>
      <c r="E81" s="73">
        <f>E53*$C$37*12*(1-$C$26)-E53*$C$38-E53*E$72*$C$40-$C$39-(($B81*$C$8+(E67*E53-$B81*$C$8*(1+$C$9))*$C$29)*$C$27*$C$28/1000)</f>
        <v/>
      </c>
      <c r="F81" s="73">
        <f>F53*$C$37*12*(1-$C$26)-F53*$C$38-F53*F$72*$C$40-$C$39-(($B81*$C$8+(F67*F53-$B81*$C$8*(1+$C$9))*$C$29)*$C$27*$C$28/1000)</f>
        <v/>
      </c>
      <c r="G81" s="73">
        <f>G53*$C$37*12*(1-$C$26)-G53*$C$38-G53*G$72*$C$40-$C$39-(($B81*$C$8+(G67*G53-$B81*$C$8*(1+$C$9))*$C$29)*$C$27*$C$28/1000)</f>
        <v/>
      </c>
      <c r="H81" s="73">
        <f>H53*$C$37*12*(1-$C$26)-H53*$C$38-H53*H$72*$C$40-$C$39-(($B81*$C$8+(H67*H53-$B81*$C$8*(1+$C$9))*$C$29)*$C$27*$C$28/1000)</f>
        <v/>
      </c>
    </row>
    <row r="84">
      <c r="A84" s="5" t="inlineStr">
        <is>
          <t>GRID D  |  DSCR at target leverage</t>
        </is>
      </c>
      <c r="B84" s="5" t="n"/>
      <c r="C84" s="5" t="n"/>
      <c r="D84" s="5" t="n"/>
      <c r="E84" s="5" t="n"/>
      <c r="F84" s="5" t="n"/>
      <c r="G84" s="5" t="n"/>
      <c r="H84" s="5" t="n"/>
      <c r="I84" s="5" t="n"/>
      <c r="J84" s="5" t="n"/>
    </row>
    <row r="85" ht="26" customHeight="1">
      <c r="A85" s="19" t="inlineStr">
        <is>
          <t>DSCR = Grid C NOI / (target loan-to-cost x Grid B cost per stall x Grid A stalls x annual debt constant). 1.25x is the lender test.</t>
        </is>
      </c>
      <c r="C85" s="68" t="inlineStr">
        <is>
          <t>Paved SF per stall (density)  -&gt;</t>
        </is>
      </c>
    </row>
    <row r="86" ht="28" customHeight="1">
      <c r="B86" s="4" t="inlineStr">
        <is>
          <t>Gross acres</t>
        </is>
      </c>
      <c r="C86" s="80" t="n">
        <v>1650</v>
      </c>
      <c r="D86" s="80" t="n">
        <v>1500</v>
      </c>
      <c r="E86" s="80" t="n">
        <v>1400</v>
      </c>
      <c r="F86" s="80" t="n">
        <v>1300</v>
      </c>
      <c r="G86" s="80" t="n">
        <v>1200</v>
      </c>
      <c r="H86" s="80" t="n">
        <v>1100</v>
      </c>
    </row>
    <row r="87">
      <c r="B87" s="81" t="n">
        <v>4</v>
      </c>
      <c r="C87" s="70">
        <f>IF(C59*C45=0,0,C73/($C$30*C59*C45*$C$31))</f>
        <v/>
      </c>
      <c r="D87" s="70">
        <f>IF(D59*D45=0,0,D73/($C$30*D59*D45*$C$31))</f>
        <v/>
      </c>
      <c r="E87" s="70">
        <f>IF(E59*E45=0,0,E73/($C$30*E59*E45*$C$31))</f>
        <v/>
      </c>
      <c r="F87" s="70">
        <f>IF(F59*F45=0,0,F73/($C$30*F59*F45*$C$31))</f>
        <v/>
      </c>
      <c r="G87" s="70">
        <f>IF(G59*G45=0,0,G73/($C$30*G59*G45*$C$31))</f>
        <v/>
      </c>
      <c r="H87" s="70">
        <f>IF(H59*H45=0,0,H73/($C$30*H59*H45*$C$31))</f>
        <v/>
      </c>
    </row>
    <row r="88">
      <c r="B88" s="81" t="n">
        <v>6</v>
      </c>
      <c r="C88" s="70">
        <f>IF(C60*C46=0,0,C74/($C$30*C60*C46*$C$31))</f>
        <v/>
      </c>
      <c r="D88" s="70">
        <f>IF(D60*D46=0,0,D74/($C$30*D60*D46*$C$31))</f>
        <v/>
      </c>
      <c r="E88" s="70">
        <f>IF(E60*E46=0,0,E74/($C$30*E60*E46*$C$31))</f>
        <v/>
      </c>
      <c r="F88" s="70">
        <f>IF(F60*F46=0,0,F74/($C$30*F60*F46*$C$31))</f>
        <v/>
      </c>
      <c r="G88" s="70">
        <f>IF(G60*G46=0,0,G74/($C$30*G60*G46*$C$31))</f>
        <v/>
      </c>
      <c r="H88" s="70">
        <f>IF(H60*H46=0,0,H74/($C$30*H60*H46*$C$31))</f>
        <v/>
      </c>
    </row>
    <row r="89">
      <c r="B89" s="81" t="n">
        <v>8</v>
      </c>
      <c r="C89" s="70">
        <f>IF(C61*C47=0,0,C75/($C$30*C61*C47*$C$31))</f>
        <v/>
      </c>
      <c r="D89" s="70">
        <f>IF(D61*D47=0,0,D75/($C$30*D61*D47*$C$31))</f>
        <v/>
      </c>
      <c r="E89" s="70">
        <f>IF(E61*E47=0,0,E75/($C$30*E61*E47*$C$31))</f>
        <v/>
      </c>
      <c r="F89" s="70">
        <f>IF(F61*F47=0,0,F75/($C$30*F61*F47*$C$31))</f>
        <v/>
      </c>
      <c r="G89" s="70">
        <f>IF(G61*G47=0,0,G75/($C$30*G61*G47*$C$31))</f>
        <v/>
      </c>
      <c r="H89" s="70">
        <f>IF(H61*H47=0,0,H75/($C$30*H61*H47*$C$31))</f>
        <v/>
      </c>
    </row>
    <row r="90">
      <c r="B90" s="81" t="n">
        <v>10</v>
      </c>
      <c r="C90" s="70">
        <f>IF(C62*C48=0,0,C76/($C$30*C62*C48*$C$31))</f>
        <v/>
      </c>
      <c r="D90" s="70">
        <f>IF(D62*D48=0,0,D76/($C$30*D62*D48*$C$31))</f>
        <v/>
      </c>
      <c r="E90" s="70">
        <f>IF(E62*E48=0,0,E76/($C$30*E62*E48*$C$31))</f>
        <v/>
      </c>
      <c r="F90" s="70">
        <f>IF(F62*F48=0,0,F76/($C$30*F62*F48*$C$31))</f>
        <v/>
      </c>
      <c r="G90" s="70">
        <f>IF(G62*G48=0,0,G76/($C$30*G62*G48*$C$31))</f>
        <v/>
      </c>
      <c r="H90" s="70">
        <f>IF(H62*H48=0,0,H76/($C$30*H62*H48*$C$31))</f>
        <v/>
      </c>
    </row>
    <row r="91">
      <c r="B91" s="81" t="n">
        <v>12</v>
      </c>
      <c r="C91" s="70">
        <f>IF(C63*C49=0,0,C77/($C$30*C63*C49*$C$31))</f>
        <v/>
      </c>
      <c r="D91" s="70">
        <f>IF(D63*D49=0,0,D77/($C$30*D63*D49*$C$31))</f>
        <v/>
      </c>
      <c r="E91" s="70">
        <f>IF(E63*E49=0,0,E77/($C$30*E63*E49*$C$31))</f>
        <v/>
      </c>
      <c r="F91" s="70">
        <f>IF(F63*F49=0,0,F77/($C$30*F63*F49*$C$31))</f>
        <v/>
      </c>
      <c r="G91" s="70">
        <f>IF(G63*G49=0,0,G77/($C$30*G63*G49*$C$31))</f>
        <v/>
      </c>
      <c r="H91" s="70">
        <f>IF(H63*H49=0,0,H77/($C$30*H63*H49*$C$31))</f>
        <v/>
      </c>
    </row>
    <row r="92">
      <c r="B92" s="81" t="n">
        <v>14</v>
      </c>
      <c r="C92" s="70">
        <f>IF(C64*C50=0,0,C78/($C$30*C64*C50*$C$31))</f>
        <v/>
      </c>
      <c r="D92" s="70">
        <f>IF(D64*D50=0,0,D78/($C$30*D64*D50*$C$31))</f>
        <v/>
      </c>
      <c r="E92" s="70">
        <f>IF(E64*E50=0,0,E78/($C$30*E64*E50*$C$31))</f>
        <v/>
      </c>
      <c r="F92" s="70">
        <f>IF(F64*F50=0,0,F78/($C$30*F64*F50*$C$31))</f>
        <v/>
      </c>
      <c r="G92" s="70">
        <f>IF(G64*G50=0,0,G78/($C$30*G64*G50*$C$31))</f>
        <v/>
      </c>
      <c r="H92" s="70">
        <f>IF(H64*H50=0,0,H78/($C$30*H64*H50*$C$31))</f>
        <v/>
      </c>
    </row>
    <row r="93">
      <c r="B93" s="81" t="n">
        <v>18</v>
      </c>
      <c r="C93" s="70">
        <f>IF(C65*C51=0,0,C79/($C$30*C65*C51*$C$31))</f>
        <v/>
      </c>
      <c r="D93" s="70">
        <f>IF(D65*D51=0,0,D79/($C$30*D65*D51*$C$31))</f>
        <v/>
      </c>
      <c r="E93" s="70">
        <f>IF(E65*E51=0,0,E79/($C$30*E65*E51*$C$31))</f>
        <v/>
      </c>
      <c r="F93" s="70">
        <f>IF(F65*F51=0,0,F79/($C$30*F65*F51*$C$31))</f>
        <v/>
      </c>
      <c r="G93" s="70">
        <f>IF(G65*G51=0,0,G79/($C$30*G65*G51*$C$31))</f>
        <v/>
      </c>
      <c r="H93" s="70">
        <f>IF(H65*H51=0,0,H79/($C$30*H65*H51*$C$31))</f>
        <v/>
      </c>
    </row>
    <row r="94">
      <c r="B94" s="81" t="n">
        <v>24</v>
      </c>
      <c r="C94" s="70">
        <f>IF(C66*C52=0,0,C80/($C$30*C66*C52*$C$31))</f>
        <v/>
      </c>
      <c r="D94" s="70">
        <f>IF(D66*D52=0,0,D80/($C$30*D66*D52*$C$31))</f>
        <v/>
      </c>
      <c r="E94" s="70">
        <f>IF(E66*E52=0,0,E80/($C$30*E66*E52*$C$31))</f>
        <v/>
      </c>
      <c r="F94" s="70">
        <f>IF(F66*F52=0,0,F80/($C$30*F66*F52*$C$31))</f>
        <v/>
      </c>
      <c r="G94" s="70">
        <f>IF(G66*G52=0,0,G80/($C$30*G66*G52*$C$31))</f>
        <v/>
      </c>
      <c r="H94" s="70">
        <f>IF(H66*H52=0,0,H80/($C$30*H66*H52*$C$31))</f>
        <v/>
      </c>
    </row>
    <row r="95">
      <c r="B95" s="81" t="n">
        <v>30</v>
      </c>
      <c r="C95" s="70">
        <f>IF(C67*C53=0,0,C81/($C$30*C67*C53*$C$31))</f>
        <v/>
      </c>
      <c r="D95" s="70">
        <f>IF(D67*D53=0,0,D81/($C$30*D67*D53*$C$31))</f>
        <v/>
      </c>
      <c r="E95" s="70">
        <f>IF(E67*E53=0,0,E81/($C$30*E67*E53*$C$31))</f>
        <v/>
      </c>
      <c r="F95" s="70">
        <f>IF(F67*F53=0,0,F81/($C$30*F67*F53*$C$31))</f>
        <v/>
      </c>
      <c r="G95" s="70">
        <f>IF(G67*G53=0,0,G81/($C$30*G67*G53*$C$31))</f>
        <v/>
      </c>
      <c r="H95" s="70">
        <f>IF(H67*H53=0,0,H81/($C$30*H67*H53*$C$31))</f>
        <v/>
      </c>
    </row>
    <row r="98">
      <c r="A98" s="5" t="inlineStr">
        <is>
          <t>GRID E  |  Yield on cost</t>
        </is>
      </c>
      <c r="B98" s="5" t="n"/>
      <c r="C98" s="5" t="n"/>
      <c r="D98" s="5" t="n"/>
      <c r="E98" s="5" t="n"/>
      <c r="F98" s="5" t="n"/>
      <c r="G98" s="5" t="n"/>
      <c r="H98" s="5" t="n"/>
      <c r="I98" s="5" t="n"/>
      <c r="J98" s="5" t="n"/>
    </row>
    <row r="99" ht="26" customHeight="1">
      <c r="A99" s="19" t="inlineStr">
        <is>
          <t>NOI divided by total project cost. Needs to clear the exit cap rate by 150-250 bps to justify merchant development risk.</t>
        </is>
      </c>
      <c r="C99" s="68" t="inlineStr">
        <is>
          <t>Paved SF per stall (density)  -&gt;</t>
        </is>
      </c>
    </row>
    <row r="100" ht="28" customHeight="1">
      <c r="B100" s="4" t="inlineStr">
        <is>
          <t>Gross acres</t>
        </is>
      </c>
      <c r="C100" s="80" t="n">
        <v>1650</v>
      </c>
      <c r="D100" s="80" t="n">
        <v>1500</v>
      </c>
      <c r="E100" s="80" t="n">
        <v>1400</v>
      </c>
      <c r="F100" s="80" t="n">
        <v>1300</v>
      </c>
      <c r="G100" s="80" t="n">
        <v>1200</v>
      </c>
      <c r="H100" s="80" t="n">
        <v>1100</v>
      </c>
    </row>
    <row r="101">
      <c r="B101" s="81" t="n">
        <v>4</v>
      </c>
      <c r="C101" s="71">
        <f>IF(C59*C45=0,0,C73/(C59*C45))</f>
        <v/>
      </c>
      <c r="D101" s="71">
        <f>IF(D59*D45=0,0,D73/(D59*D45))</f>
        <v/>
      </c>
      <c r="E101" s="71">
        <f>IF(E59*E45=0,0,E73/(E59*E45))</f>
        <v/>
      </c>
      <c r="F101" s="71">
        <f>IF(F59*F45=0,0,F73/(F59*F45))</f>
        <v/>
      </c>
      <c r="G101" s="71">
        <f>IF(G59*G45=0,0,G73/(G59*G45))</f>
        <v/>
      </c>
      <c r="H101" s="71">
        <f>IF(H59*H45=0,0,H73/(H59*H45))</f>
        <v/>
      </c>
    </row>
    <row r="102">
      <c r="B102" s="81" t="n">
        <v>6</v>
      </c>
      <c r="C102" s="71">
        <f>IF(C60*C46=0,0,C74/(C60*C46))</f>
        <v/>
      </c>
      <c r="D102" s="71">
        <f>IF(D60*D46=0,0,D74/(D60*D46))</f>
        <v/>
      </c>
      <c r="E102" s="71">
        <f>IF(E60*E46=0,0,E74/(E60*E46))</f>
        <v/>
      </c>
      <c r="F102" s="71">
        <f>IF(F60*F46=0,0,F74/(F60*F46))</f>
        <v/>
      </c>
      <c r="G102" s="71">
        <f>IF(G60*G46=0,0,G74/(G60*G46))</f>
        <v/>
      </c>
      <c r="H102" s="71">
        <f>IF(H60*H46=0,0,H74/(H60*H46))</f>
        <v/>
      </c>
    </row>
    <row r="103">
      <c r="B103" s="81" t="n">
        <v>8</v>
      </c>
      <c r="C103" s="71">
        <f>IF(C61*C47=0,0,C75/(C61*C47))</f>
        <v/>
      </c>
      <c r="D103" s="71">
        <f>IF(D61*D47=0,0,D75/(D61*D47))</f>
        <v/>
      </c>
      <c r="E103" s="71">
        <f>IF(E61*E47=0,0,E75/(E61*E47))</f>
        <v/>
      </c>
      <c r="F103" s="71">
        <f>IF(F61*F47=0,0,F75/(F61*F47))</f>
        <v/>
      </c>
      <c r="G103" s="71">
        <f>IF(G61*G47=0,0,G75/(G61*G47))</f>
        <v/>
      </c>
      <c r="H103" s="71">
        <f>IF(H61*H47=0,0,H75/(H61*H47))</f>
        <v/>
      </c>
    </row>
    <row r="104">
      <c r="B104" s="81" t="n">
        <v>10</v>
      </c>
      <c r="C104" s="71">
        <f>IF(C62*C48=0,0,C76/(C62*C48))</f>
        <v/>
      </c>
      <c r="D104" s="71">
        <f>IF(D62*D48=0,0,D76/(D62*D48))</f>
        <v/>
      </c>
      <c r="E104" s="71">
        <f>IF(E62*E48=0,0,E76/(E62*E48))</f>
        <v/>
      </c>
      <c r="F104" s="71">
        <f>IF(F62*F48=0,0,F76/(F62*F48))</f>
        <v/>
      </c>
      <c r="G104" s="71">
        <f>IF(G62*G48=0,0,G76/(G62*G48))</f>
        <v/>
      </c>
      <c r="H104" s="71">
        <f>IF(H62*H48=0,0,H76/(H62*H48))</f>
        <v/>
      </c>
    </row>
    <row r="105">
      <c r="B105" s="81" t="n">
        <v>12</v>
      </c>
      <c r="C105" s="71">
        <f>IF(C63*C49=0,0,C77/(C63*C49))</f>
        <v/>
      </c>
      <c r="D105" s="71">
        <f>IF(D63*D49=0,0,D77/(D63*D49))</f>
        <v/>
      </c>
      <c r="E105" s="71">
        <f>IF(E63*E49=0,0,E77/(E63*E49))</f>
        <v/>
      </c>
      <c r="F105" s="71">
        <f>IF(F63*F49=0,0,F77/(F63*F49))</f>
        <v/>
      </c>
      <c r="G105" s="71">
        <f>IF(G63*G49=0,0,G77/(G63*G49))</f>
        <v/>
      </c>
      <c r="H105" s="71">
        <f>IF(H63*H49=0,0,H77/(H63*H49))</f>
        <v/>
      </c>
    </row>
    <row r="106">
      <c r="B106" s="81" t="n">
        <v>14</v>
      </c>
      <c r="C106" s="71">
        <f>IF(C64*C50=0,0,C78/(C64*C50))</f>
        <v/>
      </c>
      <c r="D106" s="71">
        <f>IF(D64*D50=0,0,D78/(D64*D50))</f>
        <v/>
      </c>
      <c r="E106" s="71">
        <f>IF(E64*E50=0,0,E78/(E64*E50))</f>
        <v/>
      </c>
      <c r="F106" s="71">
        <f>IF(F64*F50=0,0,F78/(F64*F50))</f>
        <v/>
      </c>
      <c r="G106" s="71">
        <f>IF(G64*G50=0,0,G78/(G64*G50))</f>
        <v/>
      </c>
      <c r="H106" s="71">
        <f>IF(H64*H50=0,0,H78/(H64*H50))</f>
        <v/>
      </c>
    </row>
    <row r="107">
      <c r="B107" s="81" t="n">
        <v>18</v>
      </c>
      <c r="C107" s="71">
        <f>IF(C65*C51=0,0,C79/(C65*C51))</f>
        <v/>
      </c>
      <c r="D107" s="71">
        <f>IF(D65*D51=0,0,D79/(D65*D51))</f>
        <v/>
      </c>
      <c r="E107" s="71">
        <f>IF(E65*E51=0,0,E79/(E65*E51))</f>
        <v/>
      </c>
      <c r="F107" s="71">
        <f>IF(F65*F51=0,0,F79/(F65*F51))</f>
        <v/>
      </c>
      <c r="G107" s="71">
        <f>IF(G65*G51=0,0,G79/(G65*G51))</f>
        <v/>
      </c>
      <c r="H107" s="71">
        <f>IF(H65*H51=0,0,H79/(H65*H51))</f>
        <v/>
      </c>
    </row>
    <row r="108">
      <c r="B108" s="81" t="n">
        <v>24</v>
      </c>
      <c r="C108" s="71">
        <f>IF(C66*C52=0,0,C80/(C66*C52))</f>
        <v/>
      </c>
      <c r="D108" s="71">
        <f>IF(D66*D52=0,0,D80/(D66*D52))</f>
        <v/>
      </c>
      <c r="E108" s="71">
        <f>IF(E66*E52=0,0,E80/(E66*E52))</f>
        <v/>
      </c>
      <c r="F108" s="71">
        <f>IF(F66*F52=0,0,F80/(F66*F52))</f>
        <v/>
      </c>
      <c r="G108" s="71">
        <f>IF(G66*G52=0,0,G80/(G66*G52))</f>
        <v/>
      </c>
      <c r="H108" s="71">
        <f>IF(H66*H52=0,0,H80/(H66*H52))</f>
        <v/>
      </c>
    </row>
    <row r="109">
      <c r="B109" s="81" t="n">
        <v>30</v>
      </c>
      <c r="C109" s="71">
        <f>IF(C67*C53=0,0,C81/(C67*C53))</f>
        <v/>
      </c>
      <c r="D109" s="71">
        <f>IF(D67*D53=0,0,D81/(D67*D53))</f>
        <v/>
      </c>
      <c r="E109" s="71">
        <f>IF(E67*E53=0,0,E81/(E67*E53))</f>
        <v/>
      </c>
      <c r="F109" s="71">
        <f>IF(F67*F53=0,0,F81/(F67*F53))</f>
        <v/>
      </c>
      <c r="G109" s="71">
        <f>IF(G67*G53=0,0,G81/(G67*G53))</f>
        <v/>
      </c>
      <c r="H109" s="71">
        <f>IF(H67*H53=0,0,H81/(H67*H53))</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2026-08-21T04:27:53Z</dcterms:created>
  <dcterms:modified xsi:type="dcterms:W3CDTF">2026-08-21T04:27:53Z</dcterms:modified>
</cp:coreProperties>
</file>